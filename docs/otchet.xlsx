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о дням" sheetId="2" state="visible" r:id="rId2"/>
    <sheet name="Сроки" sheetId="3" state="visible" r:id="rId3"/>
    <sheet name="Данные" sheetId="4" state="visible" r:id="rId4"/>
    <sheet name="Выработка" sheetId="5" state="visible" r:id="rId5"/>
  </sheets>
  <definedNames>
    <definedName name="_xlnm._FilterDatabase" localSheetId="2" hidden="1">'Сроки'!$A$4:$J$62</definedName>
    <definedName name="_xlnm._FilterDatabase" localSheetId="3" hidden="1">'Данные'!$A$4:$N$62</definedName>
    <definedName name="_xlnm._FilterDatabase" localSheetId="4" hidden="1">'Выработка'!$A$4:$F$254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6211C"/>
      <sz val="14"/>
    </font>
    <font>
      <name val="Arial"/>
      <i val="1"/>
      <color rgb="006B7469"/>
      <sz val="9"/>
    </font>
    <font>
      <name val="Arial"/>
      <b val="1"/>
      <color rgb="00FFFFFF"/>
      <sz val="9"/>
    </font>
    <font>
      <name val="Arial"/>
      <sz val="9"/>
    </font>
    <font>
      <name val="Arial"/>
      <sz val="10"/>
    </font>
    <font>
      <name val="Arial"/>
      <b val="1"/>
      <color rgb="00FFFFFF"/>
      <sz val="10"/>
    </font>
    <font>
      <name val="Arial"/>
      <color rgb="00FFFFFF"/>
      <sz val="1"/>
    </font>
  </fonts>
  <fills count="3">
    <fill>
      <patternFill/>
    </fill>
    <fill>
      <patternFill patternType="gray125"/>
    </fill>
    <fill>
      <patternFill patternType="solid">
        <fgColor rgb="0016211C"/>
      </patternFill>
    </fill>
  </fills>
  <borders count="2">
    <border>
      <left/>
      <right/>
      <top/>
      <bottom/>
      <diagonal/>
    </border>
    <border>
      <left style="thin">
        <color rgb="00D3D8CC"/>
      </left>
      <right style="thin">
        <color rgb="00D3D8CC"/>
      </right>
      <top style="thin">
        <color rgb="00D3D8CC"/>
      </top>
      <bottom style="thin">
        <color rgb="00D3D8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3" fontId="5" fillId="0" borderId="1" pivotButton="0" quotePrefix="0" xfId="0"/>
    <xf numFmtId="166" fontId="5" fillId="0" borderId="1" pivotButton="0" quotePrefix="0" xfId="0"/>
    <xf numFmtId="0" fontId="5" fillId="0" borderId="1" pivotButton="0" quotePrefix="0" xfId="0"/>
    <xf numFmtId="0" fontId="6" fillId="2" borderId="1" applyAlignment="1" pivotButton="0" quotePrefix="0" xfId="0">
      <alignment vertical="center" wrapText="1"/>
    </xf>
    <xf numFmtId="3" fontId="6" fillId="2" borderId="1" pivotButton="0" quotePrefix="0" xfId="0"/>
    <xf numFmtId="166" fontId="6" fillId="2" borderId="1" pivotButton="0" quotePrefix="0" xfId="0"/>
    <xf numFmtId="0" fontId="6" fillId="2" borderId="1" pivotButton="0" quotePrefix="0" xfId="0"/>
    <xf numFmtId="165" fontId="7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center"/>
    </xf>
    <xf numFmtId="0" fontId="3" fillId="2" borderId="1" pivotButton="0" quotePrefix="0" xfId="0"/>
    <xf numFmtId="3" fontId="3" fillId="2" borderId="1" applyAlignment="1" pivotButton="0" quotePrefix="0" xfId="0">
      <alignment horizontal="center"/>
    </xf>
    <xf numFmtId="165" fontId="4" fillId="0" borderId="1" pivotButton="0" quotePrefix="0" xfId="0"/>
    <xf numFmtId="1" fontId="4" fillId="0" borderId="1" applyAlignment="1" pivotButton="0" quotePrefix="0" xfId="0">
      <alignment horizontal="center"/>
    </xf>
    <xf numFmtId="9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A63D28"/>
        <sz val="10"/>
      </font>
    </dxf>
    <dxf>
      <font>
        <name val="Arial"/>
        <color rgb="00B57E0C"/>
        <sz val="10"/>
      </font>
    </dxf>
    <dxf>
      <font>
        <name val="Arial"/>
        <b val="1"/>
        <color rgb="00A63D28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3" customWidth="1" min="4" max="4"/>
    <col width="13" customWidth="1" min="5" max="5"/>
    <col width="16" customWidth="1" min="6" max="6"/>
    <col width="10" customWidth="1" min="7" max="7"/>
  </cols>
  <sheetData>
    <row r="1" ht="22" customHeight="1">
      <c r="A1" s="1" t="inlineStr">
        <is>
          <t>ПЛАН-ФАКТ ПОЛЕВЫХ РАБОТ 2026</t>
        </is>
      </c>
    </row>
    <row r="2">
      <c r="A2" s="2" t="inlineStr">
        <is>
          <t>На 24.05.2026 · собрано автоматически из листа «Общий свод 2026» · все числа — формулы к листам «Данные» и «Выработка»</t>
        </is>
      </c>
    </row>
    <row r="4" ht="30" customHeight="1">
      <c r="A4" s="3" t="inlineStr">
        <is>
          <t>Вид работ</t>
        </is>
      </c>
      <c r="B4" s="3" t="inlineStr">
        <is>
          <t>План, га</t>
        </is>
      </c>
      <c r="C4" s="3" t="inlineStr">
        <is>
          <t>Факт, га</t>
        </is>
      </c>
      <c r="D4" s="3" t="inlineStr">
        <is>
          <t>Остаток, га</t>
        </is>
      </c>
      <c r="E4" s="3" t="inlineStr">
        <is>
          <t>Выполнение</t>
        </is>
      </c>
      <c r="F4" s="3" t="inlineStr">
        <is>
          <t>Статус</t>
        </is>
      </c>
      <c r="G4" s="3" t="inlineStr">
        <is>
          <t>Позиций</t>
        </is>
      </c>
    </row>
    <row r="5">
      <c r="A5" s="4" t="inlineStr">
        <is>
          <t>Хим обработка</t>
        </is>
      </c>
      <c r="B5" s="5">
        <f>SUMIF(Данные!$B$5:$B$62,$A5,Данные!$F$5:$F$62)</f>
        <v/>
      </c>
      <c r="C5" s="5">
        <f>SUMIF(Данные!$B$5:$B$62,$A5,Данные!$G$5:$G$62)</f>
        <v/>
      </c>
      <c r="D5" s="5">
        <f>B5-C5</f>
        <v/>
      </c>
      <c r="E5" s="6">
        <f>IFERROR(C5/B5,0)</f>
        <v/>
      </c>
      <c r="F5" s="7">
        <f>IF(E5&gt;=0.995,"завершено",IF(E5&gt;=0.7,"в графике",IF(E5&gt;=0.35,"отставание","срыв срока")))</f>
        <v/>
      </c>
      <c r="G5" s="7">
        <f>COUNTIF(Данные!$B$5:$B$62,$A5)</f>
        <v/>
      </c>
    </row>
    <row r="6">
      <c r="A6" s="4" t="inlineStr">
        <is>
          <t>Хим обработка №2</t>
        </is>
      </c>
      <c r="B6" s="5">
        <f>SUMIF(Данные!$B$5:$B$62,$A6,Данные!$F$5:$F$62)</f>
        <v/>
      </c>
      <c r="C6" s="5">
        <f>SUMIF(Данные!$B$5:$B$62,$A6,Данные!$G$5:$G$62)</f>
        <v/>
      </c>
      <c r="D6" s="5">
        <f>B6-C6</f>
        <v/>
      </c>
      <c r="E6" s="6">
        <f>IFERROR(C6/B6,0)</f>
        <v/>
      </c>
      <c r="F6" s="7">
        <f>IF(E6&gt;=0.995,"завершено",IF(E6&gt;=0.7,"в графике",IF(E6&gt;=0.35,"отставание","срыв срока")))</f>
        <v/>
      </c>
      <c r="G6" s="7">
        <f>COUNTIF(Данные!$B$5:$B$62,$A6)</f>
        <v/>
      </c>
    </row>
    <row r="7">
      <c r="A7" s="4" t="inlineStr">
        <is>
          <t>Внесение мин.удобрений №1</t>
        </is>
      </c>
      <c r="B7" s="5">
        <f>SUMIF(Данные!$B$5:$B$62,$A7,Данные!$F$5:$F$62)</f>
        <v/>
      </c>
      <c r="C7" s="5">
        <f>SUMIF(Данные!$B$5:$B$62,$A7,Данные!$G$5:$G$62)</f>
        <v/>
      </c>
      <c r="D7" s="5">
        <f>B7-C7</f>
        <v/>
      </c>
      <c r="E7" s="6">
        <f>IFERROR(C7/B7,0)</f>
        <v/>
      </c>
      <c r="F7" s="7">
        <f>IF(E7&gt;=0.995,"завершено",IF(E7&gt;=0.7,"в графике",IF(E7&gt;=0.35,"отставание","срыв срока")))</f>
        <v/>
      </c>
      <c r="G7" s="7">
        <f>COUNTIF(Данные!$B$5:$B$62,$A7)</f>
        <v/>
      </c>
    </row>
    <row r="8">
      <c r="A8" s="4" t="inlineStr">
        <is>
          <t>Внесение мин.удобрений №2</t>
        </is>
      </c>
      <c r="B8" s="5">
        <f>SUMIF(Данные!$B$5:$B$62,$A8,Данные!$F$5:$F$62)</f>
        <v/>
      </c>
      <c r="C8" s="5">
        <f>SUMIF(Данные!$B$5:$B$62,$A8,Данные!$G$5:$G$62)</f>
        <v/>
      </c>
      <c r="D8" s="5">
        <f>B8-C8</f>
        <v/>
      </c>
      <c r="E8" s="6">
        <f>IFERROR(C8/B8,0)</f>
        <v/>
      </c>
      <c r="F8" s="7">
        <f>IF(E8&gt;=0.995,"завершено",IF(E8&gt;=0.7,"в графике",IF(E8&gt;=0.35,"отставание","срыв срока")))</f>
        <v/>
      </c>
      <c r="G8" s="7">
        <f>COUNTIF(Данные!$B$5:$B$62,$A8)</f>
        <v/>
      </c>
    </row>
    <row r="9">
      <c r="A9" s="4" t="inlineStr">
        <is>
          <t>Предпосевная культивация</t>
        </is>
      </c>
      <c r="B9" s="5">
        <f>SUMIF(Данные!$B$5:$B$62,$A9,Данные!$F$5:$F$62)</f>
        <v/>
      </c>
      <c r="C9" s="5">
        <f>SUMIF(Данные!$B$5:$B$62,$A9,Данные!$G$5:$G$62)</f>
        <v/>
      </c>
      <c r="D9" s="5">
        <f>B9-C9</f>
        <v/>
      </c>
      <c r="E9" s="6">
        <f>IFERROR(C9/B9,0)</f>
        <v/>
      </c>
      <c r="F9" s="7">
        <f>IF(E9&gt;=0.995,"завершено",IF(E9&gt;=0.7,"в графике",IF(E9&gt;=0.35,"отставание","срыв срока")))</f>
        <v/>
      </c>
      <c r="G9" s="7">
        <f>COUNTIF(Данные!$B$5:$B$62,$A9)</f>
        <v/>
      </c>
    </row>
    <row r="10">
      <c r="A10" s="4" t="inlineStr">
        <is>
          <t>Сев горошка</t>
        </is>
      </c>
      <c r="B10" s="5">
        <f>SUMIF(Данные!$B$5:$B$62,$A10,Данные!$F$5:$F$62)</f>
        <v/>
      </c>
      <c r="C10" s="5">
        <f>SUMIF(Данные!$B$5:$B$62,$A10,Данные!$G$5:$G$62)</f>
        <v/>
      </c>
      <c r="D10" s="5">
        <f>B10-C10</f>
        <v/>
      </c>
      <c r="E10" s="6">
        <f>IFERROR(C10/B10,0)</f>
        <v/>
      </c>
      <c r="F10" s="7">
        <f>IF(E10&gt;=0.995,"завершено",IF(E10&gt;=0.7,"в графике",IF(E10&gt;=0.35,"отставание","срыв срока")))</f>
        <v/>
      </c>
      <c r="G10" s="7">
        <f>COUNTIF(Данные!$B$5:$B$62,$A10)</f>
        <v/>
      </c>
    </row>
    <row r="11">
      <c r="A11" s="4" t="inlineStr">
        <is>
          <t>Сев зерновых</t>
        </is>
      </c>
      <c r="B11" s="5">
        <f>SUMIF(Данные!$B$5:$B$62,$A11,Данные!$F$5:$F$62)</f>
        <v/>
      </c>
      <c r="C11" s="5">
        <f>SUMIF(Данные!$B$5:$B$62,$A11,Данные!$G$5:$G$62)</f>
        <v/>
      </c>
      <c r="D11" s="5">
        <f>B11-C11</f>
        <v/>
      </c>
      <c r="E11" s="6">
        <f>IFERROR(C11/B11,0)</f>
        <v/>
      </c>
      <c r="F11" s="7">
        <f>IF(E11&gt;=0.995,"завершено",IF(E11&gt;=0.7,"в графике",IF(E11&gt;=0.35,"отставание","срыв срока")))</f>
        <v/>
      </c>
      <c r="G11" s="7">
        <f>COUNTIF(Данные!$B$5:$B$62,$A11)</f>
        <v/>
      </c>
    </row>
    <row r="12">
      <c r="A12" s="4" t="inlineStr">
        <is>
          <t>Культивация№1</t>
        </is>
      </c>
      <c r="B12" s="5">
        <f>SUMIF(Данные!$B$5:$B$62,$A12,Данные!$F$5:$F$62)</f>
        <v/>
      </c>
      <c r="C12" s="5">
        <f>SUMIF(Данные!$B$5:$B$62,$A12,Данные!$G$5:$G$62)</f>
        <v/>
      </c>
      <c r="D12" s="5">
        <f>B12-C12</f>
        <v/>
      </c>
      <c r="E12" s="6">
        <f>IFERROR(C12/B12,0)</f>
        <v/>
      </c>
      <c r="F12" s="7">
        <f>IF(E12&gt;=0.995,"завершено",IF(E12&gt;=0.7,"в графике",IF(E12&gt;=0.35,"отставание","срыв срока")))</f>
        <v/>
      </c>
      <c r="G12" s="7">
        <f>COUNTIF(Данные!$B$5:$B$62,$A12)</f>
        <v/>
      </c>
    </row>
    <row r="13">
      <c r="A13" s="4" t="inlineStr">
        <is>
          <t>Культивация№111</t>
        </is>
      </c>
      <c r="B13" s="5">
        <f>SUMIF(Данные!$B$5:$B$62,$A13,Данные!$F$5:$F$62)</f>
        <v/>
      </c>
      <c r="C13" s="5">
        <f>SUMIF(Данные!$B$5:$B$62,$A13,Данные!$G$5:$G$62)</f>
        <v/>
      </c>
      <c r="D13" s="5">
        <f>B13-C13</f>
        <v/>
      </c>
      <c r="E13" s="6">
        <f>IFERROR(C13/B13,0)</f>
        <v/>
      </c>
      <c r="F13" s="7">
        <f>IF(E13&gt;=0.995,"завершено",IF(E13&gt;=0.7,"в графике",IF(E13&gt;=0.35,"отставание","срыв срока")))</f>
        <v/>
      </c>
      <c r="G13" s="7">
        <f>COUNTIF(Данные!$B$5:$B$62,$A13)</f>
        <v/>
      </c>
    </row>
    <row r="14">
      <c r="A14" s="4" t="inlineStr">
        <is>
          <t>СЕВ СЛАДКОЙ КУКУРУЗЫ</t>
        </is>
      </c>
      <c r="B14" s="5">
        <f>SUMIF(Данные!$B$5:$B$62,$A14,Данные!$F$5:$F$62)</f>
        <v/>
      </c>
      <c r="C14" s="5">
        <f>SUMIF(Данные!$B$5:$B$62,$A14,Данные!$G$5:$G$62)</f>
        <v/>
      </c>
      <c r="D14" s="5">
        <f>B14-C14</f>
        <v/>
      </c>
      <c r="E14" s="6">
        <f>IFERROR(C14/B14,0)</f>
        <v/>
      </c>
      <c r="F14" s="7">
        <f>IF(E14&gt;=0.995,"завершено",IF(E14&gt;=0.7,"в графике",IF(E14&gt;=0.35,"отставание","срыв срока")))</f>
        <v/>
      </c>
      <c r="G14" s="7">
        <f>COUNTIF(Данные!$B$5:$B$62,$A14)</f>
        <v/>
      </c>
    </row>
    <row r="15">
      <c r="A15" s="4" t="inlineStr">
        <is>
          <t>Прикатывание до всходов</t>
        </is>
      </c>
      <c r="B15" s="5">
        <f>SUMIF(Данные!$B$5:$B$62,$A15,Данные!$F$5:$F$62)</f>
        <v/>
      </c>
      <c r="C15" s="5">
        <f>SUMIF(Данные!$B$5:$B$62,$A15,Данные!$G$5:$G$62)</f>
        <v/>
      </c>
      <c r="D15" s="5">
        <f>B15-C15</f>
        <v/>
      </c>
      <c r="E15" s="6">
        <f>IFERROR(C15/B15,0)</f>
        <v/>
      </c>
      <c r="F15" s="7">
        <f>IF(E15&gt;=0.995,"завершено",IF(E15&gt;=0.7,"в графике",IF(E15&gt;=0.35,"отставание","срыв срока")))</f>
        <v/>
      </c>
      <c r="G15" s="7">
        <f>COUNTIF(Данные!$B$5:$B$62,$A15)</f>
        <v/>
      </c>
    </row>
    <row r="16">
      <c r="A16" s="4" t="inlineStr">
        <is>
          <t>Культивация№2</t>
        </is>
      </c>
      <c r="B16" s="5">
        <f>SUMIF(Данные!$B$5:$B$62,$A16,Данные!$F$5:$F$62)</f>
        <v/>
      </c>
      <c r="C16" s="5">
        <f>SUMIF(Данные!$B$5:$B$62,$A16,Данные!$G$5:$G$62)</f>
        <v/>
      </c>
      <c r="D16" s="5">
        <f>B16-C16</f>
        <v/>
      </c>
      <c r="E16" s="6">
        <f>IFERROR(C16/B16,0)</f>
        <v/>
      </c>
      <c r="F16" s="7">
        <f>IF(E16&gt;=0.995,"завершено",IF(E16&gt;=0.7,"в графике",IF(E16&gt;=0.35,"отставание","срыв срока")))</f>
        <v/>
      </c>
      <c r="G16" s="7">
        <f>COUNTIF(Данные!$B$5:$B$62,$A16)</f>
        <v/>
      </c>
    </row>
    <row r="17">
      <c r="A17" s="4" t="inlineStr">
        <is>
          <t>Культивация№3</t>
        </is>
      </c>
      <c r="B17" s="5">
        <f>SUMIF(Данные!$B$5:$B$62,$A17,Данные!$F$5:$F$62)</f>
        <v/>
      </c>
      <c r="C17" s="5">
        <f>SUMIF(Данные!$B$5:$B$62,$A17,Данные!$G$5:$G$62)</f>
        <v/>
      </c>
      <c r="D17" s="5">
        <f>B17-C17</f>
        <v/>
      </c>
      <c r="E17" s="6">
        <f>IFERROR(C17/B17,0)</f>
        <v/>
      </c>
      <c r="F17" s="7">
        <f>IF(E17&gt;=0.995,"завершено",IF(E17&gt;=0.7,"в графике",IF(E17&gt;=0.35,"отставание","срыв срока")))</f>
        <v/>
      </c>
      <c r="G17" s="7">
        <f>COUNTIF(Данные!$B$5:$B$62,$A17)</f>
        <v/>
      </c>
    </row>
    <row r="18">
      <c r="A18" s="4" t="inlineStr">
        <is>
          <t>Глубокое рыхление 40-45</t>
        </is>
      </c>
      <c r="B18" s="5">
        <f>SUMIF(Данные!$B$5:$B$62,$A18,Данные!$F$5:$F$62)</f>
        <v/>
      </c>
      <c r="C18" s="5">
        <f>SUMIF(Данные!$B$5:$B$62,$A18,Данные!$G$5:$G$62)</f>
        <v/>
      </c>
      <c r="D18" s="5">
        <f>B18-C18</f>
        <v/>
      </c>
      <c r="E18" s="6">
        <f>IFERROR(C18/B18,0)</f>
        <v/>
      </c>
      <c r="F18" s="7">
        <f>IF(E18&gt;=0.995,"завершено",IF(E18&gt;=0.7,"в графике",IF(E18&gt;=0.35,"отставание","срыв срока")))</f>
        <v/>
      </c>
      <c r="G18" s="7">
        <f>COUNTIF(Данные!$B$5:$B$62,$A18)</f>
        <v/>
      </c>
    </row>
    <row r="19">
      <c r="A19" s="8" t="inlineStr">
        <is>
          <t>ИТОГО ПО ПРЕДПРИЯТИЮ</t>
        </is>
      </c>
      <c r="B19" s="9">
        <f>SUM(B5:B18)</f>
        <v/>
      </c>
      <c r="C19" s="9">
        <f>SUM(C5:C18)</f>
        <v/>
      </c>
      <c r="D19" s="9">
        <f>B19-C19</f>
        <v/>
      </c>
      <c r="E19" s="10">
        <f>IFERROR(C19/B19,0)</f>
        <v/>
      </c>
      <c r="F19" s="11" t="n"/>
      <c r="G19" s="11">
        <f>SUM(G5:G18)</f>
        <v/>
      </c>
    </row>
  </sheetData>
  <mergeCells count="2">
    <mergeCell ref="A2:G2"/>
    <mergeCell ref="A1:G1"/>
  </mergeCells>
  <conditionalFormatting sqref="E5:E18">
    <cfRule type="dataBar" priority="1">
      <dataBar showValue="1">
        <cfvo type="num" val="0"/>
        <cfvo type="num" val="1"/>
        <color rgb="002E6B41"/>
      </dataBar>
    </cfRule>
  </conditionalFormatting>
  <conditionalFormatting sqref="F5:F18">
    <cfRule type="cellIs" priority="2" operator="lessThan" dxfId="0">
      <formula>0.35</formula>
    </cfRule>
    <cfRule type="cellIs" priority="3" operator="between" dxfId="1">
      <formula>0.35</formula>
      <formula>0.6999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11" customWidth="1" min="33" max="33"/>
  </cols>
  <sheetData>
    <row r="1" ht="22" customHeight="1">
      <c r="A1" s="1" t="inlineStr">
        <is>
          <t>ВЫРАБОТКА ПО ДНЯМ, га — последние 30 рабочих дней</t>
        </is>
      </c>
    </row>
    <row r="2">
      <c r="A2" s="2" t="inlineStr">
        <is>
          <t>На 24.05.2026 · «Накоплено» — нарастающим итогом с начала сезона</t>
        </is>
      </c>
    </row>
    <row r="3" hidden="1">
      <c r="C3" s="12" t="n">
        <v>46130</v>
      </c>
      <c r="D3" s="12" t="n">
        <v>46131</v>
      </c>
      <c r="E3" s="12" t="n">
        <v>46132</v>
      </c>
      <c r="F3" s="12" t="n">
        <v>46134</v>
      </c>
      <c r="G3" s="12" t="n">
        <v>46135</v>
      </c>
      <c r="H3" s="12" t="n">
        <v>46137</v>
      </c>
      <c r="I3" s="12" t="n">
        <v>46138</v>
      </c>
      <c r="J3" s="12" t="n">
        <v>46139</v>
      </c>
      <c r="K3" s="12" t="n">
        <v>46140</v>
      </c>
      <c r="L3" s="12" t="n">
        <v>46141</v>
      </c>
      <c r="M3" s="12" t="n">
        <v>46142</v>
      </c>
      <c r="N3" s="12" t="n">
        <v>46143</v>
      </c>
      <c r="O3" s="12" t="n">
        <v>46144</v>
      </c>
      <c r="P3" s="12" t="n">
        <v>46145</v>
      </c>
      <c r="Q3" s="12" t="n">
        <v>46146</v>
      </c>
      <c r="R3" s="12" t="n">
        <v>46147</v>
      </c>
      <c r="S3" s="12" t="n">
        <v>46148</v>
      </c>
      <c r="T3" s="12" t="n">
        <v>46149</v>
      </c>
      <c r="U3" s="12" t="n">
        <v>46150</v>
      </c>
      <c r="V3" s="12" t="n">
        <v>46151</v>
      </c>
      <c r="W3" s="12" t="n">
        <v>46152</v>
      </c>
      <c r="X3" s="12" t="n">
        <v>46153</v>
      </c>
      <c r="Y3" s="12" t="n">
        <v>46154</v>
      </c>
      <c r="Z3" s="12" t="n">
        <v>46155</v>
      </c>
      <c r="AA3" s="12" t="n">
        <v>46160</v>
      </c>
      <c r="AB3" s="12" t="n">
        <v>46161</v>
      </c>
      <c r="AC3" s="12" t="n">
        <v>46162</v>
      </c>
      <c r="AD3" s="12" t="n">
        <v>46164</v>
      </c>
      <c r="AE3" s="12" t="n">
        <v>46165</v>
      </c>
      <c r="AF3" s="12" t="n">
        <v>46166</v>
      </c>
    </row>
    <row r="4" ht="34" customHeight="1">
      <c r="A4" s="3" t="inlineStr">
        <is>
          <t>Вид работ</t>
        </is>
      </c>
      <c r="B4" s="3" t="inlineStr">
        <is>
          <t>Накоплено</t>
        </is>
      </c>
      <c r="C4" s="3" t="inlineStr">
        <is>
          <t>сб
18.04</t>
        </is>
      </c>
      <c r="D4" s="3" t="inlineStr">
        <is>
          <t>вс
19.04</t>
        </is>
      </c>
      <c r="E4" s="3" t="inlineStr">
        <is>
          <t>пн
20.04</t>
        </is>
      </c>
      <c r="F4" s="3" t="inlineStr">
        <is>
          <t>ср
22.04</t>
        </is>
      </c>
      <c r="G4" s="3" t="inlineStr">
        <is>
          <t>чт
23.04</t>
        </is>
      </c>
      <c r="H4" s="3" t="inlineStr">
        <is>
          <t>сб
25.04</t>
        </is>
      </c>
      <c r="I4" s="3" t="inlineStr">
        <is>
          <t>вс
26.04</t>
        </is>
      </c>
      <c r="J4" s="3" t="inlineStr">
        <is>
          <t>пн
27.04</t>
        </is>
      </c>
      <c r="K4" s="3" t="inlineStr">
        <is>
          <t>вт
28.04</t>
        </is>
      </c>
      <c r="L4" s="3" t="inlineStr">
        <is>
          <t>ср
29.04</t>
        </is>
      </c>
      <c r="M4" s="3" t="inlineStr">
        <is>
          <t>чт
30.04</t>
        </is>
      </c>
      <c r="N4" s="3" t="inlineStr">
        <is>
          <t>пт
01.05</t>
        </is>
      </c>
      <c r="O4" s="3" t="inlineStr">
        <is>
          <t>сб
02.05</t>
        </is>
      </c>
      <c r="P4" s="3" t="inlineStr">
        <is>
          <t>вс
03.05</t>
        </is>
      </c>
      <c r="Q4" s="3" t="inlineStr">
        <is>
          <t>пн
04.05</t>
        </is>
      </c>
      <c r="R4" s="3" t="inlineStr">
        <is>
          <t>вт
05.05</t>
        </is>
      </c>
      <c r="S4" s="3" t="inlineStr">
        <is>
          <t>ср
06.05</t>
        </is>
      </c>
      <c r="T4" s="3" t="inlineStr">
        <is>
          <t>чт
07.05</t>
        </is>
      </c>
      <c r="U4" s="3" t="inlineStr">
        <is>
          <t>пт
08.05</t>
        </is>
      </c>
      <c r="V4" s="3" t="inlineStr">
        <is>
          <t>сб
09.05</t>
        </is>
      </c>
      <c r="W4" s="3" t="inlineStr">
        <is>
          <t>вс
10.05</t>
        </is>
      </c>
      <c r="X4" s="3" t="inlineStr">
        <is>
          <t>пн
11.05</t>
        </is>
      </c>
      <c r="Y4" s="3" t="inlineStr">
        <is>
          <t>вт
12.05</t>
        </is>
      </c>
      <c r="Z4" s="3" t="inlineStr">
        <is>
          <t>ср
13.05</t>
        </is>
      </c>
      <c r="AA4" s="3" t="inlineStr">
        <is>
          <t>пн
18.05</t>
        </is>
      </c>
      <c r="AB4" s="3" t="inlineStr">
        <is>
          <t>вт
19.05</t>
        </is>
      </c>
      <c r="AC4" s="3" t="inlineStr">
        <is>
          <t>ср
20.05</t>
        </is>
      </c>
      <c r="AD4" s="3" t="inlineStr">
        <is>
          <t>пт
22.05</t>
        </is>
      </c>
      <c r="AE4" s="3" t="inlineStr">
        <is>
          <t>сб
23.05</t>
        </is>
      </c>
      <c r="AF4" s="3" t="inlineStr">
        <is>
          <t>вс
24.05</t>
        </is>
      </c>
      <c r="AG4" s="3" t="inlineStr">
        <is>
          <t>Итого
за период</t>
        </is>
      </c>
    </row>
    <row r="5">
      <c r="A5" s="13" t="inlineStr">
        <is>
          <t>Хим обработка</t>
        </is>
      </c>
      <c r="B5" s="14">
        <f>SUMIF(Выработка!$C$5:$C$254,$A5,Выработка!$F$5:$F$254)</f>
        <v/>
      </c>
      <c r="C5" s="14">
        <f>IF(SUMIFS(Выработка!$F$5:$F$254,Выработка!$C$5:$C$254,$A5,Выработка!$A$5:$A$254,C$3)=0,"",SUMIFS(Выработка!$F$5:$F$254,Выработка!$C$5:$C$254,$A5,Выработка!$A$5:$A$254,C$3))</f>
        <v/>
      </c>
      <c r="D5" s="14">
        <f>IF(SUMIFS(Выработка!$F$5:$F$254,Выработка!$C$5:$C$254,$A5,Выработка!$A$5:$A$254,D$3)=0,"",SUMIFS(Выработка!$F$5:$F$254,Выработка!$C$5:$C$254,$A5,Выработка!$A$5:$A$254,D$3))</f>
        <v/>
      </c>
      <c r="E5" s="14">
        <f>IF(SUMIFS(Выработка!$F$5:$F$254,Выработка!$C$5:$C$254,$A5,Выработка!$A$5:$A$254,E$3)=0,"",SUMIFS(Выработка!$F$5:$F$254,Выработка!$C$5:$C$254,$A5,Выработка!$A$5:$A$254,E$3))</f>
        <v/>
      </c>
      <c r="F5" s="14">
        <f>IF(SUMIFS(Выработка!$F$5:$F$254,Выработка!$C$5:$C$254,$A5,Выработка!$A$5:$A$254,F$3)=0,"",SUMIFS(Выработка!$F$5:$F$254,Выработка!$C$5:$C$254,$A5,Выработка!$A$5:$A$254,F$3))</f>
        <v/>
      </c>
      <c r="G5" s="14">
        <f>IF(SUMIFS(Выработка!$F$5:$F$254,Выработка!$C$5:$C$254,$A5,Выработка!$A$5:$A$254,G$3)=0,"",SUMIFS(Выработка!$F$5:$F$254,Выработка!$C$5:$C$254,$A5,Выработка!$A$5:$A$254,G$3))</f>
        <v/>
      </c>
      <c r="H5" s="14">
        <f>IF(SUMIFS(Выработка!$F$5:$F$254,Выработка!$C$5:$C$254,$A5,Выработка!$A$5:$A$254,H$3)=0,"",SUMIFS(Выработка!$F$5:$F$254,Выработка!$C$5:$C$254,$A5,Выработка!$A$5:$A$254,H$3))</f>
        <v/>
      </c>
      <c r="I5" s="14">
        <f>IF(SUMIFS(Выработка!$F$5:$F$254,Выработка!$C$5:$C$254,$A5,Выработка!$A$5:$A$254,I$3)=0,"",SUMIFS(Выработка!$F$5:$F$254,Выработка!$C$5:$C$254,$A5,Выработка!$A$5:$A$254,I$3))</f>
        <v/>
      </c>
      <c r="J5" s="14">
        <f>IF(SUMIFS(Выработка!$F$5:$F$254,Выработка!$C$5:$C$254,$A5,Выработка!$A$5:$A$254,J$3)=0,"",SUMIFS(Выработка!$F$5:$F$254,Выработка!$C$5:$C$254,$A5,Выработка!$A$5:$A$254,J$3))</f>
        <v/>
      </c>
      <c r="K5" s="14">
        <f>IF(SUMIFS(Выработка!$F$5:$F$254,Выработка!$C$5:$C$254,$A5,Выработка!$A$5:$A$254,K$3)=0,"",SUMIFS(Выработка!$F$5:$F$254,Выработка!$C$5:$C$254,$A5,Выработка!$A$5:$A$254,K$3))</f>
        <v/>
      </c>
      <c r="L5" s="14">
        <f>IF(SUMIFS(Выработка!$F$5:$F$254,Выработка!$C$5:$C$254,$A5,Выработка!$A$5:$A$254,L$3)=0,"",SUMIFS(Выработка!$F$5:$F$254,Выработка!$C$5:$C$254,$A5,Выработка!$A$5:$A$254,L$3))</f>
        <v/>
      </c>
      <c r="M5" s="14">
        <f>IF(SUMIFS(Выработка!$F$5:$F$254,Выработка!$C$5:$C$254,$A5,Выработка!$A$5:$A$254,M$3)=0,"",SUMIFS(Выработка!$F$5:$F$254,Выработка!$C$5:$C$254,$A5,Выработка!$A$5:$A$254,M$3))</f>
        <v/>
      </c>
      <c r="N5" s="14">
        <f>IF(SUMIFS(Выработка!$F$5:$F$254,Выработка!$C$5:$C$254,$A5,Выработка!$A$5:$A$254,N$3)=0,"",SUMIFS(Выработка!$F$5:$F$254,Выработка!$C$5:$C$254,$A5,Выработка!$A$5:$A$254,N$3))</f>
        <v/>
      </c>
      <c r="O5" s="14">
        <f>IF(SUMIFS(Выработка!$F$5:$F$254,Выработка!$C$5:$C$254,$A5,Выработка!$A$5:$A$254,O$3)=0,"",SUMIFS(Выработка!$F$5:$F$254,Выработка!$C$5:$C$254,$A5,Выработка!$A$5:$A$254,O$3))</f>
        <v/>
      </c>
      <c r="P5" s="14">
        <f>IF(SUMIFS(Выработка!$F$5:$F$254,Выработка!$C$5:$C$254,$A5,Выработка!$A$5:$A$254,P$3)=0,"",SUMIFS(Выработка!$F$5:$F$254,Выработка!$C$5:$C$254,$A5,Выработка!$A$5:$A$254,P$3))</f>
        <v/>
      </c>
      <c r="Q5" s="14">
        <f>IF(SUMIFS(Выработка!$F$5:$F$254,Выработка!$C$5:$C$254,$A5,Выработка!$A$5:$A$254,Q$3)=0,"",SUMIFS(Выработка!$F$5:$F$254,Выработка!$C$5:$C$254,$A5,Выработка!$A$5:$A$254,Q$3))</f>
        <v/>
      </c>
      <c r="R5" s="14">
        <f>IF(SUMIFS(Выработка!$F$5:$F$254,Выработка!$C$5:$C$254,$A5,Выработка!$A$5:$A$254,R$3)=0,"",SUMIFS(Выработка!$F$5:$F$254,Выработка!$C$5:$C$254,$A5,Выработка!$A$5:$A$254,R$3))</f>
        <v/>
      </c>
      <c r="S5" s="14">
        <f>IF(SUMIFS(Выработка!$F$5:$F$254,Выработка!$C$5:$C$254,$A5,Выработка!$A$5:$A$254,S$3)=0,"",SUMIFS(Выработка!$F$5:$F$254,Выработка!$C$5:$C$254,$A5,Выработка!$A$5:$A$254,S$3))</f>
        <v/>
      </c>
      <c r="T5" s="14">
        <f>IF(SUMIFS(Выработка!$F$5:$F$254,Выработка!$C$5:$C$254,$A5,Выработка!$A$5:$A$254,T$3)=0,"",SUMIFS(Выработка!$F$5:$F$254,Выработка!$C$5:$C$254,$A5,Выработка!$A$5:$A$254,T$3))</f>
        <v/>
      </c>
      <c r="U5" s="14">
        <f>IF(SUMIFS(Выработка!$F$5:$F$254,Выработка!$C$5:$C$254,$A5,Выработка!$A$5:$A$254,U$3)=0,"",SUMIFS(Выработка!$F$5:$F$254,Выработка!$C$5:$C$254,$A5,Выработка!$A$5:$A$254,U$3))</f>
        <v/>
      </c>
      <c r="V5" s="14">
        <f>IF(SUMIFS(Выработка!$F$5:$F$254,Выработка!$C$5:$C$254,$A5,Выработка!$A$5:$A$254,V$3)=0,"",SUMIFS(Выработка!$F$5:$F$254,Выработка!$C$5:$C$254,$A5,Выработка!$A$5:$A$254,V$3))</f>
        <v/>
      </c>
      <c r="W5" s="14">
        <f>IF(SUMIFS(Выработка!$F$5:$F$254,Выработка!$C$5:$C$254,$A5,Выработка!$A$5:$A$254,W$3)=0,"",SUMIFS(Выработка!$F$5:$F$254,Выработка!$C$5:$C$254,$A5,Выработка!$A$5:$A$254,W$3))</f>
        <v/>
      </c>
      <c r="X5" s="14">
        <f>IF(SUMIFS(Выработка!$F$5:$F$254,Выработка!$C$5:$C$254,$A5,Выработка!$A$5:$A$254,X$3)=0,"",SUMIFS(Выработка!$F$5:$F$254,Выработка!$C$5:$C$254,$A5,Выработка!$A$5:$A$254,X$3))</f>
        <v/>
      </c>
      <c r="Y5" s="14">
        <f>IF(SUMIFS(Выработка!$F$5:$F$254,Выработка!$C$5:$C$254,$A5,Выработка!$A$5:$A$254,Y$3)=0,"",SUMIFS(Выработка!$F$5:$F$254,Выработка!$C$5:$C$254,$A5,Выработка!$A$5:$A$254,Y$3))</f>
        <v/>
      </c>
      <c r="Z5" s="14">
        <f>IF(SUMIFS(Выработка!$F$5:$F$254,Выработка!$C$5:$C$254,$A5,Выработка!$A$5:$A$254,Z$3)=0,"",SUMIFS(Выработка!$F$5:$F$254,Выработка!$C$5:$C$254,$A5,Выработка!$A$5:$A$254,Z$3))</f>
        <v/>
      </c>
      <c r="AA5" s="14">
        <f>IF(SUMIFS(Выработка!$F$5:$F$254,Выработка!$C$5:$C$254,$A5,Выработка!$A$5:$A$254,AA$3)=0,"",SUMIFS(Выработка!$F$5:$F$254,Выработка!$C$5:$C$254,$A5,Выработка!$A$5:$A$254,AA$3))</f>
        <v/>
      </c>
      <c r="AB5" s="14">
        <f>IF(SUMIFS(Выработка!$F$5:$F$254,Выработка!$C$5:$C$254,$A5,Выработка!$A$5:$A$254,AB$3)=0,"",SUMIFS(Выработка!$F$5:$F$254,Выработка!$C$5:$C$254,$A5,Выработка!$A$5:$A$254,AB$3))</f>
        <v/>
      </c>
      <c r="AC5" s="14">
        <f>IF(SUMIFS(Выработка!$F$5:$F$254,Выработка!$C$5:$C$254,$A5,Выработка!$A$5:$A$254,AC$3)=0,"",SUMIFS(Выработка!$F$5:$F$254,Выработка!$C$5:$C$254,$A5,Выработка!$A$5:$A$254,AC$3))</f>
        <v/>
      </c>
      <c r="AD5" s="14">
        <f>IF(SUMIFS(Выработка!$F$5:$F$254,Выработка!$C$5:$C$254,$A5,Выработка!$A$5:$A$254,AD$3)=0,"",SUMIFS(Выработка!$F$5:$F$254,Выработка!$C$5:$C$254,$A5,Выработка!$A$5:$A$254,AD$3))</f>
        <v/>
      </c>
      <c r="AE5" s="14">
        <f>IF(SUMIFS(Выработка!$F$5:$F$254,Выработка!$C$5:$C$254,$A5,Выработка!$A$5:$A$254,AE$3)=0,"",SUMIFS(Выработка!$F$5:$F$254,Выработка!$C$5:$C$254,$A5,Выработка!$A$5:$A$254,AE$3))</f>
        <v/>
      </c>
      <c r="AF5" s="14">
        <f>IF(SUMIFS(Выработка!$F$5:$F$254,Выработка!$C$5:$C$254,$A5,Выработка!$A$5:$A$254,AF$3)=0,"",SUMIFS(Выработка!$F$5:$F$254,Выработка!$C$5:$C$254,$A5,Выработка!$A$5:$A$254,AF$3))</f>
        <v/>
      </c>
      <c r="AG5" s="14">
        <f>SUM(C5:AF5)</f>
        <v/>
      </c>
    </row>
    <row r="6">
      <c r="A6" s="13" t="inlineStr">
        <is>
          <t>Хим обработка №2</t>
        </is>
      </c>
      <c r="B6" s="14">
        <f>SUMIF(Выработка!$C$5:$C$254,$A6,Выработка!$F$5:$F$254)</f>
        <v/>
      </c>
      <c r="C6" s="14">
        <f>IF(SUMIFS(Выработка!$F$5:$F$254,Выработка!$C$5:$C$254,$A6,Выработка!$A$5:$A$254,C$3)=0,"",SUMIFS(Выработка!$F$5:$F$254,Выработка!$C$5:$C$254,$A6,Выработка!$A$5:$A$254,C$3))</f>
        <v/>
      </c>
      <c r="D6" s="14">
        <f>IF(SUMIFS(Выработка!$F$5:$F$254,Выработка!$C$5:$C$254,$A6,Выработка!$A$5:$A$254,D$3)=0,"",SUMIFS(Выработка!$F$5:$F$254,Выработка!$C$5:$C$254,$A6,Выработка!$A$5:$A$254,D$3))</f>
        <v/>
      </c>
      <c r="E6" s="14">
        <f>IF(SUMIFS(Выработка!$F$5:$F$254,Выработка!$C$5:$C$254,$A6,Выработка!$A$5:$A$254,E$3)=0,"",SUMIFS(Выработка!$F$5:$F$254,Выработка!$C$5:$C$254,$A6,Выработка!$A$5:$A$254,E$3))</f>
        <v/>
      </c>
      <c r="F6" s="14">
        <f>IF(SUMIFS(Выработка!$F$5:$F$254,Выработка!$C$5:$C$254,$A6,Выработка!$A$5:$A$254,F$3)=0,"",SUMIFS(Выработка!$F$5:$F$254,Выработка!$C$5:$C$254,$A6,Выработка!$A$5:$A$254,F$3))</f>
        <v/>
      </c>
      <c r="G6" s="14">
        <f>IF(SUMIFS(Выработка!$F$5:$F$254,Выработка!$C$5:$C$254,$A6,Выработка!$A$5:$A$254,G$3)=0,"",SUMIFS(Выработка!$F$5:$F$254,Выработка!$C$5:$C$254,$A6,Выработка!$A$5:$A$254,G$3))</f>
        <v/>
      </c>
      <c r="H6" s="14">
        <f>IF(SUMIFS(Выработка!$F$5:$F$254,Выработка!$C$5:$C$254,$A6,Выработка!$A$5:$A$254,H$3)=0,"",SUMIFS(Выработка!$F$5:$F$254,Выработка!$C$5:$C$254,$A6,Выработка!$A$5:$A$254,H$3))</f>
        <v/>
      </c>
      <c r="I6" s="14">
        <f>IF(SUMIFS(Выработка!$F$5:$F$254,Выработка!$C$5:$C$254,$A6,Выработка!$A$5:$A$254,I$3)=0,"",SUMIFS(Выработка!$F$5:$F$254,Выработка!$C$5:$C$254,$A6,Выработка!$A$5:$A$254,I$3))</f>
        <v/>
      </c>
      <c r="J6" s="14">
        <f>IF(SUMIFS(Выработка!$F$5:$F$254,Выработка!$C$5:$C$254,$A6,Выработка!$A$5:$A$254,J$3)=0,"",SUMIFS(Выработка!$F$5:$F$254,Выработка!$C$5:$C$254,$A6,Выработка!$A$5:$A$254,J$3))</f>
        <v/>
      </c>
      <c r="K6" s="14">
        <f>IF(SUMIFS(Выработка!$F$5:$F$254,Выработка!$C$5:$C$254,$A6,Выработка!$A$5:$A$254,K$3)=0,"",SUMIFS(Выработка!$F$5:$F$254,Выработка!$C$5:$C$254,$A6,Выработка!$A$5:$A$254,K$3))</f>
        <v/>
      </c>
      <c r="L6" s="14">
        <f>IF(SUMIFS(Выработка!$F$5:$F$254,Выработка!$C$5:$C$254,$A6,Выработка!$A$5:$A$254,L$3)=0,"",SUMIFS(Выработка!$F$5:$F$254,Выработка!$C$5:$C$254,$A6,Выработка!$A$5:$A$254,L$3))</f>
        <v/>
      </c>
      <c r="M6" s="14">
        <f>IF(SUMIFS(Выработка!$F$5:$F$254,Выработка!$C$5:$C$254,$A6,Выработка!$A$5:$A$254,M$3)=0,"",SUMIFS(Выработка!$F$5:$F$254,Выработка!$C$5:$C$254,$A6,Выработка!$A$5:$A$254,M$3))</f>
        <v/>
      </c>
      <c r="N6" s="14">
        <f>IF(SUMIFS(Выработка!$F$5:$F$254,Выработка!$C$5:$C$254,$A6,Выработка!$A$5:$A$254,N$3)=0,"",SUMIFS(Выработка!$F$5:$F$254,Выработка!$C$5:$C$254,$A6,Выработка!$A$5:$A$254,N$3))</f>
        <v/>
      </c>
      <c r="O6" s="14">
        <f>IF(SUMIFS(Выработка!$F$5:$F$254,Выработка!$C$5:$C$254,$A6,Выработка!$A$5:$A$254,O$3)=0,"",SUMIFS(Выработка!$F$5:$F$254,Выработка!$C$5:$C$254,$A6,Выработка!$A$5:$A$254,O$3))</f>
        <v/>
      </c>
      <c r="P6" s="14">
        <f>IF(SUMIFS(Выработка!$F$5:$F$254,Выработка!$C$5:$C$254,$A6,Выработка!$A$5:$A$254,P$3)=0,"",SUMIFS(Выработка!$F$5:$F$254,Выработка!$C$5:$C$254,$A6,Выработка!$A$5:$A$254,P$3))</f>
        <v/>
      </c>
      <c r="Q6" s="14">
        <f>IF(SUMIFS(Выработка!$F$5:$F$254,Выработка!$C$5:$C$254,$A6,Выработка!$A$5:$A$254,Q$3)=0,"",SUMIFS(Выработка!$F$5:$F$254,Выработка!$C$5:$C$254,$A6,Выработка!$A$5:$A$254,Q$3))</f>
        <v/>
      </c>
      <c r="R6" s="14">
        <f>IF(SUMIFS(Выработка!$F$5:$F$254,Выработка!$C$5:$C$254,$A6,Выработка!$A$5:$A$254,R$3)=0,"",SUMIFS(Выработка!$F$5:$F$254,Выработка!$C$5:$C$254,$A6,Выработка!$A$5:$A$254,R$3))</f>
        <v/>
      </c>
      <c r="S6" s="14">
        <f>IF(SUMIFS(Выработка!$F$5:$F$254,Выработка!$C$5:$C$254,$A6,Выработка!$A$5:$A$254,S$3)=0,"",SUMIFS(Выработка!$F$5:$F$254,Выработка!$C$5:$C$254,$A6,Выработка!$A$5:$A$254,S$3))</f>
        <v/>
      </c>
      <c r="T6" s="14">
        <f>IF(SUMIFS(Выработка!$F$5:$F$254,Выработка!$C$5:$C$254,$A6,Выработка!$A$5:$A$254,T$3)=0,"",SUMIFS(Выработка!$F$5:$F$254,Выработка!$C$5:$C$254,$A6,Выработка!$A$5:$A$254,T$3))</f>
        <v/>
      </c>
      <c r="U6" s="14">
        <f>IF(SUMIFS(Выработка!$F$5:$F$254,Выработка!$C$5:$C$254,$A6,Выработка!$A$5:$A$254,U$3)=0,"",SUMIFS(Выработка!$F$5:$F$254,Выработка!$C$5:$C$254,$A6,Выработка!$A$5:$A$254,U$3))</f>
        <v/>
      </c>
      <c r="V6" s="14">
        <f>IF(SUMIFS(Выработка!$F$5:$F$254,Выработка!$C$5:$C$254,$A6,Выработка!$A$5:$A$254,V$3)=0,"",SUMIFS(Выработка!$F$5:$F$254,Выработка!$C$5:$C$254,$A6,Выработка!$A$5:$A$254,V$3))</f>
        <v/>
      </c>
      <c r="W6" s="14">
        <f>IF(SUMIFS(Выработка!$F$5:$F$254,Выработка!$C$5:$C$254,$A6,Выработка!$A$5:$A$254,W$3)=0,"",SUMIFS(Выработка!$F$5:$F$254,Выработка!$C$5:$C$254,$A6,Выработка!$A$5:$A$254,W$3))</f>
        <v/>
      </c>
      <c r="X6" s="14">
        <f>IF(SUMIFS(Выработка!$F$5:$F$254,Выработка!$C$5:$C$254,$A6,Выработка!$A$5:$A$254,X$3)=0,"",SUMIFS(Выработка!$F$5:$F$254,Выработка!$C$5:$C$254,$A6,Выработка!$A$5:$A$254,X$3))</f>
        <v/>
      </c>
      <c r="Y6" s="14">
        <f>IF(SUMIFS(Выработка!$F$5:$F$254,Выработка!$C$5:$C$254,$A6,Выработка!$A$5:$A$254,Y$3)=0,"",SUMIFS(Выработка!$F$5:$F$254,Выработка!$C$5:$C$254,$A6,Выработка!$A$5:$A$254,Y$3))</f>
        <v/>
      </c>
      <c r="Z6" s="14">
        <f>IF(SUMIFS(Выработка!$F$5:$F$254,Выработка!$C$5:$C$254,$A6,Выработка!$A$5:$A$254,Z$3)=0,"",SUMIFS(Выработка!$F$5:$F$254,Выработка!$C$5:$C$254,$A6,Выработка!$A$5:$A$254,Z$3))</f>
        <v/>
      </c>
      <c r="AA6" s="14">
        <f>IF(SUMIFS(Выработка!$F$5:$F$254,Выработка!$C$5:$C$254,$A6,Выработка!$A$5:$A$254,AA$3)=0,"",SUMIFS(Выработка!$F$5:$F$254,Выработка!$C$5:$C$254,$A6,Выработка!$A$5:$A$254,AA$3))</f>
        <v/>
      </c>
      <c r="AB6" s="14">
        <f>IF(SUMIFS(Выработка!$F$5:$F$254,Выработка!$C$5:$C$254,$A6,Выработка!$A$5:$A$254,AB$3)=0,"",SUMIFS(Выработка!$F$5:$F$254,Выработка!$C$5:$C$254,$A6,Выработка!$A$5:$A$254,AB$3))</f>
        <v/>
      </c>
      <c r="AC6" s="14">
        <f>IF(SUMIFS(Выработка!$F$5:$F$254,Выработка!$C$5:$C$254,$A6,Выработка!$A$5:$A$254,AC$3)=0,"",SUMIFS(Выработка!$F$5:$F$254,Выработка!$C$5:$C$254,$A6,Выработка!$A$5:$A$254,AC$3))</f>
        <v/>
      </c>
      <c r="AD6" s="14">
        <f>IF(SUMIFS(Выработка!$F$5:$F$254,Выработка!$C$5:$C$254,$A6,Выработка!$A$5:$A$254,AD$3)=0,"",SUMIFS(Выработка!$F$5:$F$254,Выработка!$C$5:$C$254,$A6,Выработка!$A$5:$A$254,AD$3))</f>
        <v/>
      </c>
      <c r="AE6" s="14">
        <f>IF(SUMIFS(Выработка!$F$5:$F$254,Выработка!$C$5:$C$254,$A6,Выработка!$A$5:$A$254,AE$3)=0,"",SUMIFS(Выработка!$F$5:$F$254,Выработка!$C$5:$C$254,$A6,Выработка!$A$5:$A$254,AE$3))</f>
        <v/>
      </c>
      <c r="AF6" s="14">
        <f>IF(SUMIFS(Выработка!$F$5:$F$254,Выработка!$C$5:$C$254,$A6,Выработка!$A$5:$A$254,AF$3)=0,"",SUMIFS(Выработка!$F$5:$F$254,Выработка!$C$5:$C$254,$A6,Выработка!$A$5:$A$254,AF$3))</f>
        <v/>
      </c>
      <c r="AG6" s="14">
        <f>SUM(C6:AF6)</f>
        <v/>
      </c>
    </row>
    <row r="7">
      <c r="A7" s="13" t="inlineStr">
        <is>
          <t>Внесение мин.удобрений №1</t>
        </is>
      </c>
      <c r="B7" s="14">
        <f>SUMIF(Выработка!$C$5:$C$254,$A7,Выработка!$F$5:$F$254)</f>
        <v/>
      </c>
      <c r="C7" s="14">
        <f>IF(SUMIFS(Выработка!$F$5:$F$254,Выработка!$C$5:$C$254,$A7,Выработка!$A$5:$A$254,C$3)=0,"",SUMIFS(Выработка!$F$5:$F$254,Выработка!$C$5:$C$254,$A7,Выработка!$A$5:$A$254,C$3))</f>
        <v/>
      </c>
      <c r="D7" s="14">
        <f>IF(SUMIFS(Выработка!$F$5:$F$254,Выработка!$C$5:$C$254,$A7,Выработка!$A$5:$A$254,D$3)=0,"",SUMIFS(Выработка!$F$5:$F$254,Выработка!$C$5:$C$254,$A7,Выработка!$A$5:$A$254,D$3))</f>
        <v/>
      </c>
      <c r="E7" s="14">
        <f>IF(SUMIFS(Выработка!$F$5:$F$254,Выработка!$C$5:$C$254,$A7,Выработка!$A$5:$A$254,E$3)=0,"",SUMIFS(Выработка!$F$5:$F$254,Выработка!$C$5:$C$254,$A7,Выработка!$A$5:$A$254,E$3))</f>
        <v/>
      </c>
      <c r="F7" s="14">
        <f>IF(SUMIFS(Выработка!$F$5:$F$254,Выработка!$C$5:$C$254,$A7,Выработка!$A$5:$A$254,F$3)=0,"",SUMIFS(Выработка!$F$5:$F$254,Выработка!$C$5:$C$254,$A7,Выработка!$A$5:$A$254,F$3))</f>
        <v/>
      </c>
      <c r="G7" s="14">
        <f>IF(SUMIFS(Выработка!$F$5:$F$254,Выработка!$C$5:$C$254,$A7,Выработка!$A$5:$A$254,G$3)=0,"",SUMIFS(Выработка!$F$5:$F$254,Выработка!$C$5:$C$254,$A7,Выработка!$A$5:$A$254,G$3))</f>
        <v/>
      </c>
      <c r="H7" s="14">
        <f>IF(SUMIFS(Выработка!$F$5:$F$254,Выработка!$C$5:$C$254,$A7,Выработка!$A$5:$A$254,H$3)=0,"",SUMIFS(Выработка!$F$5:$F$254,Выработка!$C$5:$C$254,$A7,Выработка!$A$5:$A$254,H$3))</f>
        <v/>
      </c>
      <c r="I7" s="14">
        <f>IF(SUMIFS(Выработка!$F$5:$F$254,Выработка!$C$5:$C$254,$A7,Выработка!$A$5:$A$254,I$3)=0,"",SUMIFS(Выработка!$F$5:$F$254,Выработка!$C$5:$C$254,$A7,Выработка!$A$5:$A$254,I$3))</f>
        <v/>
      </c>
      <c r="J7" s="14">
        <f>IF(SUMIFS(Выработка!$F$5:$F$254,Выработка!$C$5:$C$254,$A7,Выработка!$A$5:$A$254,J$3)=0,"",SUMIFS(Выработка!$F$5:$F$254,Выработка!$C$5:$C$254,$A7,Выработка!$A$5:$A$254,J$3))</f>
        <v/>
      </c>
      <c r="K7" s="14">
        <f>IF(SUMIFS(Выработка!$F$5:$F$254,Выработка!$C$5:$C$254,$A7,Выработка!$A$5:$A$254,K$3)=0,"",SUMIFS(Выработка!$F$5:$F$254,Выработка!$C$5:$C$254,$A7,Выработка!$A$5:$A$254,K$3))</f>
        <v/>
      </c>
      <c r="L7" s="14">
        <f>IF(SUMIFS(Выработка!$F$5:$F$254,Выработка!$C$5:$C$254,$A7,Выработка!$A$5:$A$254,L$3)=0,"",SUMIFS(Выработка!$F$5:$F$254,Выработка!$C$5:$C$254,$A7,Выработка!$A$5:$A$254,L$3))</f>
        <v/>
      </c>
      <c r="M7" s="14">
        <f>IF(SUMIFS(Выработка!$F$5:$F$254,Выработка!$C$5:$C$254,$A7,Выработка!$A$5:$A$254,M$3)=0,"",SUMIFS(Выработка!$F$5:$F$254,Выработка!$C$5:$C$254,$A7,Выработка!$A$5:$A$254,M$3))</f>
        <v/>
      </c>
      <c r="N7" s="14">
        <f>IF(SUMIFS(Выработка!$F$5:$F$254,Выработка!$C$5:$C$254,$A7,Выработка!$A$5:$A$254,N$3)=0,"",SUMIFS(Выработка!$F$5:$F$254,Выработка!$C$5:$C$254,$A7,Выработка!$A$5:$A$254,N$3))</f>
        <v/>
      </c>
      <c r="O7" s="14">
        <f>IF(SUMIFS(Выработка!$F$5:$F$254,Выработка!$C$5:$C$254,$A7,Выработка!$A$5:$A$254,O$3)=0,"",SUMIFS(Выработка!$F$5:$F$254,Выработка!$C$5:$C$254,$A7,Выработка!$A$5:$A$254,O$3))</f>
        <v/>
      </c>
      <c r="P7" s="14">
        <f>IF(SUMIFS(Выработка!$F$5:$F$254,Выработка!$C$5:$C$254,$A7,Выработка!$A$5:$A$254,P$3)=0,"",SUMIFS(Выработка!$F$5:$F$254,Выработка!$C$5:$C$254,$A7,Выработка!$A$5:$A$254,P$3))</f>
        <v/>
      </c>
      <c r="Q7" s="14">
        <f>IF(SUMIFS(Выработка!$F$5:$F$254,Выработка!$C$5:$C$254,$A7,Выработка!$A$5:$A$254,Q$3)=0,"",SUMIFS(Выработка!$F$5:$F$254,Выработка!$C$5:$C$254,$A7,Выработка!$A$5:$A$254,Q$3))</f>
        <v/>
      </c>
      <c r="R7" s="14">
        <f>IF(SUMIFS(Выработка!$F$5:$F$254,Выработка!$C$5:$C$254,$A7,Выработка!$A$5:$A$254,R$3)=0,"",SUMIFS(Выработка!$F$5:$F$254,Выработка!$C$5:$C$254,$A7,Выработка!$A$5:$A$254,R$3))</f>
        <v/>
      </c>
      <c r="S7" s="14">
        <f>IF(SUMIFS(Выработка!$F$5:$F$254,Выработка!$C$5:$C$254,$A7,Выработка!$A$5:$A$254,S$3)=0,"",SUMIFS(Выработка!$F$5:$F$254,Выработка!$C$5:$C$254,$A7,Выработка!$A$5:$A$254,S$3))</f>
        <v/>
      </c>
      <c r="T7" s="14">
        <f>IF(SUMIFS(Выработка!$F$5:$F$254,Выработка!$C$5:$C$254,$A7,Выработка!$A$5:$A$254,T$3)=0,"",SUMIFS(Выработка!$F$5:$F$254,Выработка!$C$5:$C$254,$A7,Выработка!$A$5:$A$254,T$3))</f>
        <v/>
      </c>
      <c r="U7" s="14">
        <f>IF(SUMIFS(Выработка!$F$5:$F$254,Выработка!$C$5:$C$254,$A7,Выработка!$A$5:$A$254,U$3)=0,"",SUMIFS(Выработка!$F$5:$F$254,Выработка!$C$5:$C$254,$A7,Выработка!$A$5:$A$254,U$3))</f>
        <v/>
      </c>
      <c r="V7" s="14">
        <f>IF(SUMIFS(Выработка!$F$5:$F$254,Выработка!$C$5:$C$254,$A7,Выработка!$A$5:$A$254,V$3)=0,"",SUMIFS(Выработка!$F$5:$F$254,Выработка!$C$5:$C$254,$A7,Выработка!$A$5:$A$254,V$3))</f>
        <v/>
      </c>
      <c r="W7" s="14">
        <f>IF(SUMIFS(Выработка!$F$5:$F$254,Выработка!$C$5:$C$254,$A7,Выработка!$A$5:$A$254,W$3)=0,"",SUMIFS(Выработка!$F$5:$F$254,Выработка!$C$5:$C$254,$A7,Выработка!$A$5:$A$254,W$3))</f>
        <v/>
      </c>
      <c r="X7" s="14">
        <f>IF(SUMIFS(Выработка!$F$5:$F$254,Выработка!$C$5:$C$254,$A7,Выработка!$A$5:$A$254,X$3)=0,"",SUMIFS(Выработка!$F$5:$F$254,Выработка!$C$5:$C$254,$A7,Выработка!$A$5:$A$254,X$3))</f>
        <v/>
      </c>
      <c r="Y7" s="14">
        <f>IF(SUMIFS(Выработка!$F$5:$F$254,Выработка!$C$5:$C$254,$A7,Выработка!$A$5:$A$254,Y$3)=0,"",SUMIFS(Выработка!$F$5:$F$254,Выработка!$C$5:$C$254,$A7,Выработка!$A$5:$A$254,Y$3))</f>
        <v/>
      </c>
      <c r="Z7" s="14">
        <f>IF(SUMIFS(Выработка!$F$5:$F$254,Выработка!$C$5:$C$254,$A7,Выработка!$A$5:$A$254,Z$3)=0,"",SUMIFS(Выработка!$F$5:$F$254,Выработка!$C$5:$C$254,$A7,Выработка!$A$5:$A$254,Z$3))</f>
        <v/>
      </c>
      <c r="AA7" s="14">
        <f>IF(SUMIFS(Выработка!$F$5:$F$254,Выработка!$C$5:$C$254,$A7,Выработка!$A$5:$A$254,AA$3)=0,"",SUMIFS(Выработка!$F$5:$F$254,Выработка!$C$5:$C$254,$A7,Выработка!$A$5:$A$254,AA$3))</f>
        <v/>
      </c>
      <c r="AB7" s="14">
        <f>IF(SUMIFS(Выработка!$F$5:$F$254,Выработка!$C$5:$C$254,$A7,Выработка!$A$5:$A$254,AB$3)=0,"",SUMIFS(Выработка!$F$5:$F$254,Выработка!$C$5:$C$254,$A7,Выработка!$A$5:$A$254,AB$3))</f>
        <v/>
      </c>
      <c r="AC7" s="14">
        <f>IF(SUMIFS(Выработка!$F$5:$F$254,Выработка!$C$5:$C$254,$A7,Выработка!$A$5:$A$254,AC$3)=0,"",SUMIFS(Выработка!$F$5:$F$254,Выработка!$C$5:$C$254,$A7,Выработка!$A$5:$A$254,AC$3))</f>
        <v/>
      </c>
      <c r="AD7" s="14">
        <f>IF(SUMIFS(Выработка!$F$5:$F$254,Выработка!$C$5:$C$254,$A7,Выработка!$A$5:$A$254,AD$3)=0,"",SUMIFS(Выработка!$F$5:$F$254,Выработка!$C$5:$C$254,$A7,Выработка!$A$5:$A$254,AD$3))</f>
        <v/>
      </c>
      <c r="AE7" s="14">
        <f>IF(SUMIFS(Выработка!$F$5:$F$254,Выработка!$C$5:$C$254,$A7,Выработка!$A$5:$A$254,AE$3)=0,"",SUMIFS(Выработка!$F$5:$F$254,Выработка!$C$5:$C$254,$A7,Выработка!$A$5:$A$254,AE$3))</f>
        <v/>
      </c>
      <c r="AF7" s="14">
        <f>IF(SUMIFS(Выработка!$F$5:$F$254,Выработка!$C$5:$C$254,$A7,Выработка!$A$5:$A$254,AF$3)=0,"",SUMIFS(Выработка!$F$5:$F$254,Выработка!$C$5:$C$254,$A7,Выработка!$A$5:$A$254,AF$3))</f>
        <v/>
      </c>
      <c r="AG7" s="14">
        <f>SUM(C7:AF7)</f>
        <v/>
      </c>
    </row>
    <row r="8">
      <c r="A8" s="13" t="inlineStr">
        <is>
          <t>Внесение мин.удобрений №2</t>
        </is>
      </c>
      <c r="B8" s="14">
        <f>SUMIF(Выработка!$C$5:$C$254,$A8,Выработка!$F$5:$F$254)</f>
        <v/>
      </c>
      <c r="C8" s="14">
        <f>IF(SUMIFS(Выработка!$F$5:$F$254,Выработка!$C$5:$C$254,$A8,Выработка!$A$5:$A$254,C$3)=0,"",SUMIFS(Выработка!$F$5:$F$254,Выработка!$C$5:$C$254,$A8,Выработка!$A$5:$A$254,C$3))</f>
        <v/>
      </c>
      <c r="D8" s="14">
        <f>IF(SUMIFS(Выработка!$F$5:$F$254,Выработка!$C$5:$C$254,$A8,Выработка!$A$5:$A$254,D$3)=0,"",SUMIFS(Выработка!$F$5:$F$254,Выработка!$C$5:$C$254,$A8,Выработка!$A$5:$A$254,D$3))</f>
        <v/>
      </c>
      <c r="E8" s="14">
        <f>IF(SUMIFS(Выработка!$F$5:$F$254,Выработка!$C$5:$C$254,$A8,Выработка!$A$5:$A$254,E$3)=0,"",SUMIFS(Выработка!$F$5:$F$254,Выработка!$C$5:$C$254,$A8,Выработка!$A$5:$A$254,E$3))</f>
        <v/>
      </c>
      <c r="F8" s="14">
        <f>IF(SUMIFS(Выработка!$F$5:$F$254,Выработка!$C$5:$C$254,$A8,Выработка!$A$5:$A$254,F$3)=0,"",SUMIFS(Выработка!$F$5:$F$254,Выработка!$C$5:$C$254,$A8,Выработка!$A$5:$A$254,F$3))</f>
        <v/>
      </c>
      <c r="G8" s="14">
        <f>IF(SUMIFS(Выработка!$F$5:$F$254,Выработка!$C$5:$C$254,$A8,Выработка!$A$5:$A$254,G$3)=0,"",SUMIFS(Выработка!$F$5:$F$254,Выработка!$C$5:$C$254,$A8,Выработка!$A$5:$A$254,G$3))</f>
        <v/>
      </c>
      <c r="H8" s="14">
        <f>IF(SUMIFS(Выработка!$F$5:$F$254,Выработка!$C$5:$C$254,$A8,Выработка!$A$5:$A$254,H$3)=0,"",SUMIFS(Выработка!$F$5:$F$254,Выработка!$C$5:$C$254,$A8,Выработка!$A$5:$A$254,H$3))</f>
        <v/>
      </c>
      <c r="I8" s="14">
        <f>IF(SUMIFS(Выработка!$F$5:$F$254,Выработка!$C$5:$C$254,$A8,Выработка!$A$5:$A$254,I$3)=0,"",SUMIFS(Выработка!$F$5:$F$254,Выработка!$C$5:$C$254,$A8,Выработка!$A$5:$A$254,I$3))</f>
        <v/>
      </c>
      <c r="J8" s="14">
        <f>IF(SUMIFS(Выработка!$F$5:$F$254,Выработка!$C$5:$C$254,$A8,Выработка!$A$5:$A$254,J$3)=0,"",SUMIFS(Выработка!$F$5:$F$254,Выработка!$C$5:$C$254,$A8,Выработка!$A$5:$A$254,J$3))</f>
        <v/>
      </c>
      <c r="K8" s="14">
        <f>IF(SUMIFS(Выработка!$F$5:$F$254,Выработка!$C$5:$C$254,$A8,Выработка!$A$5:$A$254,K$3)=0,"",SUMIFS(Выработка!$F$5:$F$254,Выработка!$C$5:$C$254,$A8,Выработка!$A$5:$A$254,K$3))</f>
        <v/>
      </c>
      <c r="L8" s="14">
        <f>IF(SUMIFS(Выработка!$F$5:$F$254,Выработка!$C$5:$C$254,$A8,Выработка!$A$5:$A$254,L$3)=0,"",SUMIFS(Выработка!$F$5:$F$254,Выработка!$C$5:$C$254,$A8,Выработка!$A$5:$A$254,L$3))</f>
        <v/>
      </c>
      <c r="M8" s="14">
        <f>IF(SUMIFS(Выработка!$F$5:$F$254,Выработка!$C$5:$C$254,$A8,Выработка!$A$5:$A$254,M$3)=0,"",SUMIFS(Выработка!$F$5:$F$254,Выработка!$C$5:$C$254,$A8,Выработка!$A$5:$A$254,M$3))</f>
        <v/>
      </c>
      <c r="N8" s="14">
        <f>IF(SUMIFS(Выработка!$F$5:$F$254,Выработка!$C$5:$C$254,$A8,Выработка!$A$5:$A$254,N$3)=0,"",SUMIFS(Выработка!$F$5:$F$254,Выработка!$C$5:$C$254,$A8,Выработка!$A$5:$A$254,N$3))</f>
        <v/>
      </c>
      <c r="O8" s="14">
        <f>IF(SUMIFS(Выработка!$F$5:$F$254,Выработка!$C$5:$C$254,$A8,Выработка!$A$5:$A$254,O$3)=0,"",SUMIFS(Выработка!$F$5:$F$254,Выработка!$C$5:$C$254,$A8,Выработка!$A$5:$A$254,O$3))</f>
        <v/>
      </c>
      <c r="P8" s="14">
        <f>IF(SUMIFS(Выработка!$F$5:$F$254,Выработка!$C$5:$C$254,$A8,Выработка!$A$5:$A$254,P$3)=0,"",SUMIFS(Выработка!$F$5:$F$254,Выработка!$C$5:$C$254,$A8,Выработка!$A$5:$A$254,P$3))</f>
        <v/>
      </c>
      <c r="Q8" s="14">
        <f>IF(SUMIFS(Выработка!$F$5:$F$254,Выработка!$C$5:$C$254,$A8,Выработка!$A$5:$A$254,Q$3)=0,"",SUMIFS(Выработка!$F$5:$F$254,Выработка!$C$5:$C$254,$A8,Выработка!$A$5:$A$254,Q$3))</f>
        <v/>
      </c>
      <c r="R8" s="14">
        <f>IF(SUMIFS(Выработка!$F$5:$F$254,Выработка!$C$5:$C$254,$A8,Выработка!$A$5:$A$254,R$3)=0,"",SUMIFS(Выработка!$F$5:$F$254,Выработка!$C$5:$C$254,$A8,Выработка!$A$5:$A$254,R$3))</f>
        <v/>
      </c>
      <c r="S8" s="14">
        <f>IF(SUMIFS(Выработка!$F$5:$F$254,Выработка!$C$5:$C$254,$A8,Выработка!$A$5:$A$254,S$3)=0,"",SUMIFS(Выработка!$F$5:$F$254,Выработка!$C$5:$C$254,$A8,Выработка!$A$5:$A$254,S$3))</f>
        <v/>
      </c>
      <c r="T8" s="14">
        <f>IF(SUMIFS(Выработка!$F$5:$F$254,Выработка!$C$5:$C$254,$A8,Выработка!$A$5:$A$254,T$3)=0,"",SUMIFS(Выработка!$F$5:$F$254,Выработка!$C$5:$C$254,$A8,Выработка!$A$5:$A$254,T$3))</f>
        <v/>
      </c>
      <c r="U8" s="14">
        <f>IF(SUMIFS(Выработка!$F$5:$F$254,Выработка!$C$5:$C$254,$A8,Выработка!$A$5:$A$254,U$3)=0,"",SUMIFS(Выработка!$F$5:$F$254,Выработка!$C$5:$C$254,$A8,Выработка!$A$5:$A$254,U$3))</f>
        <v/>
      </c>
      <c r="V8" s="14">
        <f>IF(SUMIFS(Выработка!$F$5:$F$254,Выработка!$C$5:$C$254,$A8,Выработка!$A$5:$A$254,V$3)=0,"",SUMIFS(Выработка!$F$5:$F$254,Выработка!$C$5:$C$254,$A8,Выработка!$A$5:$A$254,V$3))</f>
        <v/>
      </c>
      <c r="W8" s="14">
        <f>IF(SUMIFS(Выработка!$F$5:$F$254,Выработка!$C$5:$C$254,$A8,Выработка!$A$5:$A$254,W$3)=0,"",SUMIFS(Выработка!$F$5:$F$254,Выработка!$C$5:$C$254,$A8,Выработка!$A$5:$A$254,W$3))</f>
        <v/>
      </c>
      <c r="X8" s="14">
        <f>IF(SUMIFS(Выработка!$F$5:$F$254,Выработка!$C$5:$C$254,$A8,Выработка!$A$5:$A$254,X$3)=0,"",SUMIFS(Выработка!$F$5:$F$254,Выработка!$C$5:$C$254,$A8,Выработка!$A$5:$A$254,X$3))</f>
        <v/>
      </c>
      <c r="Y8" s="14">
        <f>IF(SUMIFS(Выработка!$F$5:$F$254,Выработка!$C$5:$C$254,$A8,Выработка!$A$5:$A$254,Y$3)=0,"",SUMIFS(Выработка!$F$5:$F$254,Выработка!$C$5:$C$254,$A8,Выработка!$A$5:$A$254,Y$3))</f>
        <v/>
      </c>
      <c r="Z8" s="14">
        <f>IF(SUMIFS(Выработка!$F$5:$F$254,Выработка!$C$5:$C$254,$A8,Выработка!$A$5:$A$254,Z$3)=0,"",SUMIFS(Выработка!$F$5:$F$254,Выработка!$C$5:$C$254,$A8,Выработка!$A$5:$A$254,Z$3))</f>
        <v/>
      </c>
      <c r="AA8" s="14">
        <f>IF(SUMIFS(Выработка!$F$5:$F$254,Выработка!$C$5:$C$254,$A8,Выработка!$A$5:$A$254,AA$3)=0,"",SUMIFS(Выработка!$F$5:$F$254,Выработка!$C$5:$C$254,$A8,Выработка!$A$5:$A$254,AA$3))</f>
        <v/>
      </c>
      <c r="AB8" s="14">
        <f>IF(SUMIFS(Выработка!$F$5:$F$254,Выработка!$C$5:$C$254,$A8,Выработка!$A$5:$A$254,AB$3)=0,"",SUMIFS(Выработка!$F$5:$F$254,Выработка!$C$5:$C$254,$A8,Выработка!$A$5:$A$254,AB$3))</f>
        <v/>
      </c>
      <c r="AC8" s="14">
        <f>IF(SUMIFS(Выработка!$F$5:$F$254,Выработка!$C$5:$C$254,$A8,Выработка!$A$5:$A$254,AC$3)=0,"",SUMIFS(Выработка!$F$5:$F$254,Выработка!$C$5:$C$254,$A8,Выработка!$A$5:$A$254,AC$3))</f>
        <v/>
      </c>
      <c r="AD8" s="14">
        <f>IF(SUMIFS(Выработка!$F$5:$F$254,Выработка!$C$5:$C$254,$A8,Выработка!$A$5:$A$254,AD$3)=0,"",SUMIFS(Выработка!$F$5:$F$254,Выработка!$C$5:$C$254,$A8,Выработка!$A$5:$A$254,AD$3))</f>
        <v/>
      </c>
      <c r="AE8" s="14">
        <f>IF(SUMIFS(Выработка!$F$5:$F$254,Выработка!$C$5:$C$254,$A8,Выработка!$A$5:$A$254,AE$3)=0,"",SUMIFS(Выработка!$F$5:$F$254,Выработка!$C$5:$C$254,$A8,Выработка!$A$5:$A$254,AE$3))</f>
        <v/>
      </c>
      <c r="AF8" s="14">
        <f>IF(SUMIFS(Выработка!$F$5:$F$254,Выработка!$C$5:$C$254,$A8,Выработка!$A$5:$A$254,AF$3)=0,"",SUMIFS(Выработка!$F$5:$F$254,Выработка!$C$5:$C$254,$A8,Выработка!$A$5:$A$254,AF$3))</f>
        <v/>
      </c>
      <c r="AG8" s="14">
        <f>SUM(C8:AF8)</f>
        <v/>
      </c>
    </row>
    <row r="9">
      <c r="A9" s="13" t="inlineStr">
        <is>
          <t>Предпосевная культивация</t>
        </is>
      </c>
      <c r="B9" s="14">
        <f>SUMIF(Выработка!$C$5:$C$254,$A9,Выработка!$F$5:$F$254)</f>
        <v/>
      </c>
      <c r="C9" s="14">
        <f>IF(SUMIFS(Выработка!$F$5:$F$254,Выработка!$C$5:$C$254,$A9,Выработка!$A$5:$A$254,C$3)=0,"",SUMIFS(Выработка!$F$5:$F$254,Выработка!$C$5:$C$254,$A9,Выработка!$A$5:$A$254,C$3))</f>
        <v/>
      </c>
      <c r="D9" s="14">
        <f>IF(SUMIFS(Выработка!$F$5:$F$254,Выработка!$C$5:$C$254,$A9,Выработка!$A$5:$A$254,D$3)=0,"",SUMIFS(Выработка!$F$5:$F$254,Выработка!$C$5:$C$254,$A9,Выработка!$A$5:$A$254,D$3))</f>
        <v/>
      </c>
      <c r="E9" s="14">
        <f>IF(SUMIFS(Выработка!$F$5:$F$254,Выработка!$C$5:$C$254,$A9,Выработка!$A$5:$A$254,E$3)=0,"",SUMIFS(Выработка!$F$5:$F$254,Выработка!$C$5:$C$254,$A9,Выработка!$A$5:$A$254,E$3))</f>
        <v/>
      </c>
      <c r="F9" s="14">
        <f>IF(SUMIFS(Выработка!$F$5:$F$254,Выработка!$C$5:$C$254,$A9,Выработка!$A$5:$A$254,F$3)=0,"",SUMIFS(Выработка!$F$5:$F$254,Выработка!$C$5:$C$254,$A9,Выработка!$A$5:$A$254,F$3))</f>
        <v/>
      </c>
      <c r="G9" s="14">
        <f>IF(SUMIFS(Выработка!$F$5:$F$254,Выработка!$C$5:$C$254,$A9,Выработка!$A$5:$A$254,G$3)=0,"",SUMIFS(Выработка!$F$5:$F$254,Выработка!$C$5:$C$254,$A9,Выработка!$A$5:$A$254,G$3))</f>
        <v/>
      </c>
      <c r="H9" s="14">
        <f>IF(SUMIFS(Выработка!$F$5:$F$254,Выработка!$C$5:$C$254,$A9,Выработка!$A$5:$A$254,H$3)=0,"",SUMIFS(Выработка!$F$5:$F$254,Выработка!$C$5:$C$254,$A9,Выработка!$A$5:$A$254,H$3))</f>
        <v/>
      </c>
      <c r="I9" s="14">
        <f>IF(SUMIFS(Выработка!$F$5:$F$254,Выработка!$C$5:$C$254,$A9,Выработка!$A$5:$A$254,I$3)=0,"",SUMIFS(Выработка!$F$5:$F$254,Выработка!$C$5:$C$254,$A9,Выработка!$A$5:$A$254,I$3))</f>
        <v/>
      </c>
      <c r="J9" s="14">
        <f>IF(SUMIFS(Выработка!$F$5:$F$254,Выработка!$C$5:$C$254,$A9,Выработка!$A$5:$A$254,J$3)=0,"",SUMIFS(Выработка!$F$5:$F$254,Выработка!$C$5:$C$254,$A9,Выработка!$A$5:$A$254,J$3))</f>
        <v/>
      </c>
      <c r="K9" s="14">
        <f>IF(SUMIFS(Выработка!$F$5:$F$254,Выработка!$C$5:$C$254,$A9,Выработка!$A$5:$A$254,K$3)=0,"",SUMIFS(Выработка!$F$5:$F$254,Выработка!$C$5:$C$254,$A9,Выработка!$A$5:$A$254,K$3))</f>
        <v/>
      </c>
      <c r="L9" s="14">
        <f>IF(SUMIFS(Выработка!$F$5:$F$254,Выработка!$C$5:$C$254,$A9,Выработка!$A$5:$A$254,L$3)=0,"",SUMIFS(Выработка!$F$5:$F$254,Выработка!$C$5:$C$254,$A9,Выработка!$A$5:$A$254,L$3))</f>
        <v/>
      </c>
      <c r="M9" s="14">
        <f>IF(SUMIFS(Выработка!$F$5:$F$254,Выработка!$C$5:$C$254,$A9,Выработка!$A$5:$A$254,M$3)=0,"",SUMIFS(Выработка!$F$5:$F$254,Выработка!$C$5:$C$254,$A9,Выработка!$A$5:$A$254,M$3))</f>
        <v/>
      </c>
      <c r="N9" s="14">
        <f>IF(SUMIFS(Выработка!$F$5:$F$254,Выработка!$C$5:$C$254,$A9,Выработка!$A$5:$A$254,N$3)=0,"",SUMIFS(Выработка!$F$5:$F$254,Выработка!$C$5:$C$254,$A9,Выработка!$A$5:$A$254,N$3))</f>
        <v/>
      </c>
      <c r="O9" s="14">
        <f>IF(SUMIFS(Выработка!$F$5:$F$254,Выработка!$C$5:$C$254,$A9,Выработка!$A$5:$A$254,O$3)=0,"",SUMIFS(Выработка!$F$5:$F$254,Выработка!$C$5:$C$254,$A9,Выработка!$A$5:$A$254,O$3))</f>
        <v/>
      </c>
      <c r="P9" s="14">
        <f>IF(SUMIFS(Выработка!$F$5:$F$254,Выработка!$C$5:$C$254,$A9,Выработка!$A$5:$A$254,P$3)=0,"",SUMIFS(Выработка!$F$5:$F$254,Выработка!$C$5:$C$254,$A9,Выработка!$A$5:$A$254,P$3))</f>
        <v/>
      </c>
      <c r="Q9" s="14">
        <f>IF(SUMIFS(Выработка!$F$5:$F$254,Выработка!$C$5:$C$254,$A9,Выработка!$A$5:$A$254,Q$3)=0,"",SUMIFS(Выработка!$F$5:$F$254,Выработка!$C$5:$C$254,$A9,Выработка!$A$5:$A$254,Q$3))</f>
        <v/>
      </c>
      <c r="R9" s="14">
        <f>IF(SUMIFS(Выработка!$F$5:$F$254,Выработка!$C$5:$C$254,$A9,Выработка!$A$5:$A$254,R$3)=0,"",SUMIFS(Выработка!$F$5:$F$254,Выработка!$C$5:$C$254,$A9,Выработка!$A$5:$A$254,R$3))</f>
        <v/>
      </c>
      <c r="S9" s="14">
        <f>IF(SUMIFS(Выработка!$F$5:$F$254,Выработка!$C$5:$C$254,$A9,Выработка!$A$5:$A$254,S$3)=0,"",SUMIFS(Выработка!$F$5:$F$254,Выработка!$C$5:$C$254,$A9,Выработка!$A$5:$A$254,S$3))</f>
        <v/>
      </c>
      <c r="T9" s="14">
        <f>IF(SUMIFS(Выработка!$F$5:$F$254,Выработка!$C$5:$C$254,$A9,Выработка!$A$5:$A$254,T$3)=0,"",SUMIFS(Выработка!$F$5:$F$254,Выработка!$C$5:$C$254,$A9,Выработка!$A$5:$A$254,T$3))</f>
        <v/>
      </c>
      <c r="U9" s="14">
        <f>IF(SUMIFS(Выработка!$F$5:$F$254,Выработка!$C$5:$C$254,$A9,Выработка!$A$5:$A$254,U$3)=0,"",SUMIFS(Выработка!$F$5:$F$254,Выработка!$C$5:$C$254,$A9,Выработка!$A$5:$A$254,U$3))</f>
        <v/>
      </c>
      <c r="V9" s="14">
        <f>IF(SUMIFS(Выработка!$F$5:$F$254,Выработка!$C$5:$C$254,$A9,Выработка!$A$5:$A$254,V$3)=0,"",SUMIFS(Выработка!$F$5:$F$254,Выработка!$C$5:$C$254,$A9,Выработка!$A$5:$A$254,V$3))</f>
        <v/>
      </c>
      <c r="W9" s="14">
        <f>IF(SUMIFS(Выработка!$F$5:$F$254,Выработка!$C$5:$C$254,$A9,Выработка!$A$5:$A$254,W$3)=0,"",SUMIFS(Выработка!$F$5:$F$254,Выработка!$C$5:$C$254,$A9,Выработка!$A$5:$A$254,W$3))</f>
        <v/>
      </c>
      <c r="X9" s="14">
        <f>IF(SUMIFS(Выработка!$F$5:$F$254,Выработка!$C$5:$C$254,$A9,Выработка!$A$5:$A$254,X$3)=0,"",SUMIFS(Выработка!$F$5:$F$254,Выработка!$C$5:$C$254,$A9,Выработка!$A$5:$A$254,X$3))</f>
        <v/>
      </c>
      <c r="Y9" s="14">
        <f>IF(SUMIFS(Выработка!$F$5:$F$254,Выработка!$C$5:$C$254,$A9,Выработка!$A$5:$A$254,Y$3)=0,"",SUMIFS(Выработка!$F$5:$F$254,Выработка!$C$5:$C$254,$A9,Выработка!$A$5:$A$254,Y$3))</f>
        <v/>
      </c>
      <c r="Z9" s="14">
        <f>IF(SUMIFS(Выработка!$F$5:$F$254,Выработка!$C$5:$C$254,$A9,Выработка!$A$5:$A$254,Z$3)=0,"",SUMIFS(Выработка!$F$5:$F$254,Выработка!$C$5:$C$254,$A9,Выработка!$A$5:$A$254,Z$3))</f>
        <v/>
      </c>
      <c r="AA9" s="14">
        <f>IF(SUMIFS(Выработка!$F$5:$F$254,Выработка!$C$5:$C$254,$A9,Выработка!$A$5:$A$254,AA$3)=0,"",SUMIFS(Выработка!$F$5:$F$254,Выработка!$C$5:$C$254,$A9,Выработка!$A$5:$A$254,AA$3))</f>
        <v/>
      </c>
      <c r="AB9" s="14">
        <f>IF(SUMIFS(Выработка!$F$5:$F$254,Выработка!$C$5:$C$254,$A9,Выработка!$A$5:$A$254,AB$3)=0,"",SUMIFS(Выработка!$F$5:$F$254,Выработка!$C$5:$C$254,$A9,Выработка!$A$5:$A$254,AB$3))</f>
        <v/>
      </c>
      <c r="AC9" s="14">
        <f>IF(SUMIFS(Выработка!$F$5:$F$254,Выработка!$C$5:$C$254,$A9,Выработка!$A$5:$A$254,AC$3)=0,"",SUMIFS(Выработка!$F$5:$F$254,Выработка!$C$5:$C$254,$A9,Выработка!$A$5:$A$254,AC$3))</f>
        <v/>
      </c>
      <c r="AD9" s="14">
        <f>IF(SUMIFS(Выработка!$F$5:$F$254,Выработка!$C$5:$C$254,$A9,Выработка!$A$5:$A$254,AD$3)=0,"",SUMIFS(Выработка!$F$5:$F$254,Выработка!$C$5:$C$254,$A9,Выработка!$A$5:$A$254,AD$3))</f>
        <v/>
      </c>
      <c r="AE9" s="14">
        <f>IF(SUMIFS(Выработка!$F$5:$F$254,Выработка!$C$5:$C$254,$A9,Выработка!$A$5:$A$254,AE$3)=0,"",SUMIFS(Выработка!$F$5:$F$254,Выработка!$C$5:$C$254,$A9,Выработка!$A$5:$A$254,AE$3))</f>
        <v/>
      </c>
      <c r="AF9" s="14">
        <f>IF(SUMIFS(Выработка!$F$5:$F$254,Выработка!$C$5:$C$254,$A9,Выработка!$A$5:$A$254,AF$3)=0,"",SUMIFS(Выработка!$F$5:$F$254,Выработка!$C$5:$C$254,$A9,Выработка!$A$5:$A$254,AF$3))</f>
        <v/>
      </c>
      <c r="AG9" s="14">
        <f>SUM(C9:AF9)</f>
        <v/>
      </c>
    </row>
    <row r="10">
      <c r="A10" s="13" t="inlineStr">
        <is>
          <t>Сев горошка</t>
        </is>
      </c>
      <c r="B10" s="14">
        <f>SUMIF(Выработка!$C$5:$C$254,$A10,Выработка!$F$5:$F$254)</f>
        <v/>
      </c>
      <c r="C10" s="14">
        <f>IF(SUMIFS(Выработка!$F$5:$F$254,Выработка!$C$5:$C$254,$A10,Выработка!$A$5:$A$254,C$3)=0,"",SUMIFS(Выработка!$F$5:$F$254,Выработка!$C$5:$C$254,$A10,Выработка!$A$5:$A$254,C$3))</f>
        <v/>
      </c>
      <c r="D10" s="14">
        <f>IF(SUMIFS(Выработка!$F$5:$F$254,Выработка!$C$5:$C$254,$A10,Выработка!$A$5:$A$254,D$3)=0,"",SUMIFS(Выработка!$F$5:$F$254,Выработка!$C$5:$C$254,$A10,Выработка!$A$5:$A$254,D$3))</f>
        <v/>
      </c>
      <c r="E10" s="14">
        <f>IF(SUMIFS(Выработка!$F$5:$F$254,Выработка!$C$5:$C$254,$A10,Выработка!$A$5:$A$254,E$3)=0,"",SUMIFS(Выработка!$F$5:$F$254,Выработка!$C$5:$C$254,$A10,Выработка!$A$5:$A$254,E$3))</f>
        <v/>
      </c>
      <c r="F10" s="14">
        <f>IF(SUMIFS(Выработка!$F$5:$F$254,Выработка!$C$5:$C$254,$A10,Выработка!$A$5:$A$254,F$3)=0,"",SUMIFS(Выработка!$F$5:$F$254,Выработка!$C$5:$C$254,$A10,Выработка!$A$5:$A$254,F$3))</f>
        <v/>
      </c>
      <c r="G10" s="14">
        <f>IF(SUMIFS(Выработка!$F$5:$F$254,Выработка!$C$5:$C$254,$A10,Выработка!$A$5:$A$254,G$3)=0,"",SUMIFS(Выработка!$F$5:$F$254,Выработка!$C$5:$C$254,$A10,Выработка!$A$5:$A$254,G$3))</f>
        <v/>
      </c>
      <c r="H10" s="14">
        <f>IF(SUMIFS(Выработка!$F$5:$F$254,Выработка!$C$5:$C$254,$A10,Выработка!$A$5:$A$254,H$3)=0,"",SUMIFS(Выработка!$F$5:$F$254,Выработка!$C$5:$C$254,$A10,Выработка!$A$5:$A$254,H$3))</f>
        <v/>
      </c>
      <c r="I10" s="14">
        <f>IF(SUMIFS(Выработка!$F$5:$F$254,Выработка!$C$5:$C$254,$A10,Выработка!$A$5:$A$254,I$3)=0,"",SUMIFS(Выработка!$F$5:$F$254,Выработка!$C$5:$C$254,$A10,Выработка!$A$5:$A$254,I$3))</f>
        <v/>
      </c>
      <c r="J10" s="14">
        <f>IF(SUMIFS(Выработка!$F$5:$F$254,Выработка!$C$5:$C$254,$A10,Выработка!$A$5:$A$254,J$3)=0,"",SUMIFS(Выработка!$F$5:$F$254,Выработка!$C$5:$C$254,$A10,Выработка!$A$5:$A$254,J$3))</f>
        <v/>
      </c>
      <c r="K10" s="14">
        <f>IF(SUMIFS(Выработка!$F$5:$F$254,Выработка!$C$5:$C$254,$A10,Выработка!$A$5:$A$254,K$3)=0,"",SUMIFS(Выработка!$F$5:$F$254,Выработка!$C$5:$C$254,$A10,Выработка!$A$5:$A$254,K$3))</f>
        <v/>
      </c>
      <c r="L10" s="14">
        <f>IF(SUMIFS(Выработка!$F$5:$F$254,Выработка!$C$5:$C$254,$A10,Выработка!$A$5:$A$254,L$3)=0,"",SUMIFS(Выработка!$F$5:$F$254,Выработка!$C$5:$C$254,$A10,Выработка!$A$5:$A$254,L$3))</f>
        <v/>
      </c>
      <c r="M10" s="14">
        <f>IF(SUMIFS(Выработка!$F$5:$F$254,Выработка!$C$5:$C$254,$A10,Выработка!$A$5:$A$254,M$3)=0,"",SUMIFS(Выработка!$F$5:$F$254,Выработка!$C$5:$C$254,$A10,Выработка!$A$5:$A$254,M$3))</f>
        <v/>
      </c>
      <c r="N10" s="14">
        <f>IF(SUMIFS(Выработка!$F$5:$F$254,Выработка!$C$5:$C$254,$A10,Выработка!$A$5:$A$254,N$3)=0,"",SUMIFS(Выработка!$F$5:$F$254,Выработка!$C$5:$C$254,$A10,Выработка!$A$5:$A$254,N$3))</f>
        <v/>
      </c>
      <c r="O10" s="14">
        <f>IF(SUMIFS(Выработка!$F$5:$F$254,Выработка!$C$5:$C$254,$A10,Выработка!$A$5:$A$254,O$3)=0,"",SUMIFS(Выработка!$F$5:$F$254,Выработка!$C$5:$C$254,$A10,Выработка!$A$5:$A$254,O$3))</f>
        <v/>
      </c>
      <c r="P10" s="14">
        <f>IF(SUMIFS(Выработка!$F$5:$F$254,Выработка!$C$5:$C$254,$A10,Выработка!$A$5:$A$254,P$3)=0,"",SUMIFS(Выработка!$F$5:$F$254,Выработка!$C$5:$C$254,$A10,Выработка!$A$5:$A$254,P$3))</f>
        <v/>
      </c>
      <c r="Q10" s="14">
        <f>IF(SUMIFS(Выработка!$F$5:$F$254,Выработка!$C$5:$C$254,$A10,Выработка!$A$5:$A$254,Q$3)=0,"",SUMIFS(Выработка!$F$5:$F$254,Выработка!$C$5:$C$254,$A10,Выработка!$A$5:$A$254,Q$3))</f>
        <v/>
      </c>
      <c r="R10" s="14">
        <f>IF(SUMIFS(Выработка!$F$5:$F$254,Выработка!$C$5:$C$254,$A10,Выработка!$A$5:$A$254,R$3)=0,"",SUMIFS(Выработка!$F$5:$F$254,Выработка!$C$5:$C$254,$A10,Выработка!$A$5:$A$254,R$3))</f>
        <v/>
      </c>
      <c r="S10" s="14">
        <f>IF(SUMIFS(Выработка!$F$5:$F$254,Выработка!$C$5:$C$254,$A10,Выработка!$A$5:$A$254,S$3)=0,"",SUMIFS(Выработка!$F$5:$F$254,Выработка!$C$5:$C$254,$A10,Выработка!$A$5:$A$254,S$3))</f>
        <v/>
      </c>
      <c r="T10" s="14">
        <f>IF(SUMIFS(Выработка!$F$5:$F$254,Выработка!$C$5:$C$254,$A10,Выработка!$A$5:$A$254,T$3)=0,"",SUMIFS(Выработка!$F$5:$F$254,Выработка!$C$5:$C$254,$A10,Выработка!$A$5:$A$254,T$3))</f>
        <v/>
      </c>
      <c r="U10" s="14">
        <f>IF(SUMIFS(Выработка!$F$5:$F$254,Выработка!$C$5:$C$254,$A10,Выработка!$A$5:$A$254,U$3)=0,"",SUMIFS(Выработка!$F$5:$F$254,Выработка!$C$5:$C$254,$A10,Выработка!$A$5:$A$254,U$3))</f>
        <v/>
      </c>
      <c r="V10" s="14">
        <f>IF(SUMIFS(Выработка!$F$5:$F$254,Выработка!$C$5:$C$254,$A10,Выработка!$A$5:$A$254,V$3)=0,"",SUMIFS(Выработка!$F$5:$F$254,Выработка!$C$5:$C$254,$A10,Выработка!$A$5:$A$254,V$3))</f>
        <v/>
      </c>
      <c r="W10" s="14">
        <f>IF(SUMIFS(Выработка!$F$5:$F$254,Выработка!$C$5:$C$254,$A10,Выработка!$A$5:$A$254,W$3)=0,"",SUMIFS(Выработка!$F$5:$F$254,Выработка!$C$5:$C$254,$A10,Выработка!$A$5:$A$254,W$3))</f>
        <v/>
      </c>
      <c r="X10" s="14">
        <f>IF(SUMIFS(Выработка!$F$5:$F$254,Выработка!$C$5:$C$254,$A10,Выработка!$A$5:$A$254,X$3)=0,"",SUMIFS(Выработка!$F$5:$F$254,Выработка!$C$5:$C$254,$A10,Выработка!$A$5:$A$254,X$3))</f>
        <v/>
      </c>
      <c r="Y10" s="14">
        <f>IF(SUMIFS(Выработка!$F$5:$F$254,Выработка!$C$5:$C$254,$A10,Выработка!$A$5:$A$254,Y$3)=0,"",SUMIFS(Выработка!$F$5:$F$254,Выработка!$C$5:$C$254,$A10,Выработка!$A$5:$A$254,Y$3))</f>
        <v/>
      </c>
      <c r="Z10" s="14">
        <f>IF(SUMIFS(Выработка!$F$5:$F$254,Выработка!$C$5:$C$254,$A10,Выработка!$A$5:$A$254,Z$3)=0,"",SUMIFS(Выработка!$F$5:$F$254,Выработка!$C$5:$C$254,$A10,Выработка!$A$5:$A$254,Z$3))</f>
        <v/>
      </c>
      <c r="AA10" s="14">
        <f>IF(SUMIFS(Выработка!$F$5:$F$254,Выработка!$C$5:$C$254,$A10,Выработка!$A$5:$A$254,AA$3)=0,"",SUMIFS(Выработка!$F$5:$F$254,Выработка!$C$5:$C$254,$A10,Выработка!$A$5:$A$254,AA$3))</f>
        <v/>
      </c>
      <c r="AB10" s="14">
        <f>IF(SUMIFS(Выработка!$F$5:$F$254,Выработка!$C$5:$C$254,$A10,Выработка!$A$5:$A$254,AB$3)=0,"",SUMIFS(Выработка!$F$5:$F$254,Выработка!$C$5:$C$254,$A10,Выработка!$A$5:$A$254,AB$3))</f>
        <v/>
      </c>
      <c r="AC10" s="14">
        <f>IF(SUMIFS(Выработка!$F$5:$F$254,Выработка!$C$5:$C$254,$A10,Выработка!$A$5:$A$254,AC$3)=0,"",SUMIFS(Выработка!$F$5:$F$254,Выработка!$C$5:$C$254,$A10,Выработка!$A$5:$A$254,AC$3))</f>
        <v/>
      </c>
      <c r="AD10" s="14">
        <f>IF(SUMIFS(Выработка!$F$5:$F$254,Выработка!$C$5:$C$254,$A10,Выработка!$A$5:$A$254,AD$3)=0,"",SUMIFS(Выработка!$F$5:$F$254,Выработка!$C$5:$C$254,$A10,Выработка!$A$5:$A$254,AD$3))</f>
        <v/>
      </c>
      <c r="AE10" s="14">
        <f>IF(SUMIFS(Выработка!$F$5:$F$254,Выработка!$C$5:$C$254,$A10,Выработка!$A$5:$A$254,AE$3)=0,"",SUMIFS(Выработка!$F$5:$F$254,Выработка!$C$5:$C$254,$A10,Выработка!$A$5:$A$254,AE$3))</f>
        <v/>
      </c>
      <c r="AF10" s="14">
        <f>IF(SUMIFS(Выработка!$F$5:$F$254,Выработка!$C$5:$C$254,$A10,Выработка!$A$5:$A$254,AF$3)=0,"",SUMIFS(Выработка!$F$5:$F$254,Выработка!$C$5:$C$254,$A10,Выработка!$A$5:$A$254,AF$3))</f>
        <v/>
      </c>
      <c r="AG10" s="14">
        <f>SUM(C10:AF10)</f>
        <v/>
      </c>
    </row>
    <row r="11">
      <c r="A11" s="13" t="inlineStr">
        <is>
          <t>Сев зерновых</t>
        </is>
      </c>
      <c r="B11" s="14">
        <f>SUMIF(Выработка!$C$5:$C$254,$A11,Выработка!$F$5:$F$254)</f>
        <v/>
      </c>
      <c r="C11" s="14">
        <f>IF(SUMIFS(Выработка!$F$5:$F$254,Выработка!$C$5:$C$254,$A11,Выработка!$A$5:$A$254,C$3)=0,"",SUMIFS(Выработка!$F$5:$F$254,Выработка!$C$5:$C$254,$A11,Выработка!$A$5:$A$254,C$3))</f>
        <v/>
      </c>
      <c r="D11" s="14">
        <f>IF(SUMIFS(Выработка!$F$5:$F$254,Выработка!$C$5:$C$254,$A11,Выработка!$A$5:$A$254,D$3)=0,"",SUMIFS(Выработка!$F$5:$F$254,Выработка!$C$5:$C$254,$A11,Выработка!$A$5:$A$254,D$3))</f>
        <v/>
      </c>
      <c r="E11" s="14">
        <f>IF(SUMIFS(Выработка!$F$5:$F$254,Выработка!$C$5:$C$254,$A11,Выработка!$A$5:$A$254,E$3)=0,"",SUMIFS(Выработка!$F$5:$F$254,Выработка!$C$5:$C$254,$A11,Выработка!$A$5:$A$254,E$3))</f>
        <v/>
      </c>
      <c r="F11" s="14">
        <f>IF(SUMIFS(Выработка!$F$5:$F$254,Выработка!$C$5:$C$254,$A11,Выработка!$A$5:$A$254,F$3)=0,"",SUMIFS(Выработка!$F$5:$F$254,Выработка!$C$5:$C$254,$A11,Выработка!$A$5:$A$254,F$3))</f>
        <v/>
      </c>
      <c r="G11" s="14">
        <f>IF(SUMIFS(Выработка!$F$5:$F$254,Выработка!$C$5:$C$254,$A11,Выработка!$A$5:$A$254,G$3)=0,"",SUMIFS(Выработка!$F$5:$F$254,Выработка!$C$5:$C$254,$A11,Выработка!$A$5:$A$254,G$3))</f>
        <v/>
      </c>
      <c r="H11" s="14">
        <f>IF(SUMIFS(Выработка!$F$5:$F$254,Выработка!$C$5:$C$254,$A11,Выработка!$A$5:$A$254,H$3)=0,"",SUMIFS(Выработка!$F$5:$F$254,Выработка!$C$5:$C$254,$A11,Выработка!$A$5:$A$254,H$3))</f>
        <v/>
      </c>
      <c r="I11" s="14">
        <f>IF(SUMIFS(Выработка!$F$5:$F$254,Выработка!$C$5:$C$254,$A11,Выработка!$A$5:$A$254,I$3)=0,"",SUMIFS(Выработка!$F$5:$F$254,Выработка!$C$5:$C$254,$A11,Выработка!$A$5:$A$254,I$3))</f>
        <v/>
      </c>
      <c r="J11" s="14">
        <f>IF(SUMIFS(Выработка!$F$5:$F$254,Выработка!$C$5:$C$254,$A11,Выработка!$A$5:$A$254,J$3)=0,"",SUMIFS(Выработка!$F$5:$F$254,Выработка!$C$5:$C$254,$A11,Выработка!$A$5:$A$254,J$3))</f>
        <v/>
      </c>
      <c r="K11" s="14">
        <f>IF(SUMIFS(Выработка!$F$5:$F$254,Выработка!$C$5:$C$254,$A11,Выработка!$A$5:$A$254,K$3)=0,"",SUMIFS(Выработка!$F$5:$F$254,Выработка!$C$5:$C$254,$A11,Выработка!$A$5:$A$254,K$3))</f>
        <v/>
      </c>
      <c r="L11" s="14">
        <f>IF(SUMIFS(Выработка!$F$5:$F$254,Выработка!$C$5:$C$254,$A11,Выработка!$A$5:$A$254,L$3)=0,"",SUMIFS(Выработка!$F$5:$F$254,Выработка!$C$5:$C$254,$A11,Выработка!$A$5:$A$254,L$3))</f>
        <v/>
      </c>
      <c r="M11" s="14">
        <f>IF(SUMIFS(Выработка!$F$5:$F$254,Выработка!$C$5:$C$254,$A11,Выработка!$A$5:$A$254,M$3)=0,"",SUMIFS(Выработка!$F$5:$F$254,Выработка!$C$5:$C$254,$A11,Выработка!$A$5:$A$254,M$3))</f>
        <v/>
      </c>
      <c r="N11" s="14">
        <f>IF(SUMIFS(Выработка!$F$5:$F$254,Выработка!$C$5:$C$254,$A11,Выработка!$A$5:$A$254,N$3)=0,"",SUMIFS(Выработка!$F$5:$F$254,Выработка!$C$5:$C$254,$A11,Выработка!$A$5:$A$254,N$3))</f>
        <v/>
      </c>
      <c r="O11" s="14">
        <f>IF(SUMIFS(Выработка!$F$5:$F$254,Выработка!$C$5:$C$254,$A11,Выработка!$A$5:$A$254,O$3)=0,"",SUMIFS(Выработка!$F$5:$F$254,Выработка!$C$5:$C$254,$A11,Выработка!$A$5:$A$254,O$3))</f>
        <v/>
      </c>
      <c r="P11" s="14">
        <f>IF(SUMIFS(Выработка!$F$5:$F$254,Выработка!$C$5:$C$254,$A11,Выработка!$A$5:$A$254,P$3)=0,"",SUMIFS(Выработка!$F$5:$F$254,Выработка!$C$5:$C$254,$A11,Выработка!$A$5:$A$254,P$3))</f>
        <v/>
      </c>
      <c r="Q11" s="14">
        <f>IF(SUMIFS(Выработка!$F$5:$F$254,Выработка!$C$5:$C$254,$A11,Выработка!$A$5:$A$254,Q$3)=0,"",SUMIFS(Выработка!$F$5:$F$254,Выработка!$C$5:$C$254,$A11,Выработка!$A$5:$A$254,Q$3))</f>
        <v/>
      </c>
      <c r="R11" s="14">
        <f>IF(SUMIFS(Выработка!$F$5:$F$254,Выработка!$C$5:$C$254,$A11,Выработка!$A$5:$A$254,R$3)=0,"",SUMIFS(Выработка!$F$5:$F$254,Выработка!$C$5:$C$254,$A11,Выработка!$A$5:$A$254,R$3))</f>
        <v/>
      </c>
      <c r="S11" s="14">
        <f>IF(SUMIFS(Выработка!$F$5:$F$254,Выработка!$C$5:$C$254,$A11,Выработка!$A$5:$A$254,S$3)=0,"",SUMIFS(Выработка!$F$5:$F$254,Выработка!$C$5:$C$254,$A11,Выработка!$A$5:$A$254,S$3))</f>
        <v/>
      </c>
      <c r="T11" s="14">
        <f>IF(SUMIFS(Выработка!$F$5:$F$254,Выработка!$C$5:$C$254,$A11,Выработка!$A$5:$A$254,T$3)=0,"",SUMIFS(Выработка!$F$5:$F$254,Выработка!$C$5:$C$254,$A11,Выработка!$A$5:$A$254,T$3))</f>
        <v/>
      </c>
      <c r="U11" s="14">
        <f>IF(SUMIFS(Выработка!$F$5:$F$254,Выработка!$C$5:$C$254,$A11,Выработка!$A$5:$A$254,U$3)=0,"",SUMIFS(Выработка!$F$5:$F$254,Выработка!$C$5:$C$254,$A11,Выработка!$A$5:$A$254,U$3))</f>
        <v/>
      </c>
      <c r="V11" s="14">
        <f>IF(SUMIFS(Выработка!$F$5:$F$254,Выработка!$C$5:$C$254,$A11,Выработка!$A$5:$A$254,V$3)=0,"",SUMIFS(Выработка!$F$5:$F$254,Выработка!$C$5:$C$254,$A11,Выработка!$A$5:$A$254,V$3))</f>
        <v/>
      </c>
      <c r="W11" s="14">
        <f>IF(SUMIFS(Выработка!$F$5:$F$254,Выработка!$C$5:$C$254,$A11,Выработка!$A$5:$A$254,W$3)=0,"",SUMIFS(Выработка!$F$5:$F$254,Выработка!$C$5:$C$254,$A11,Выработка!$A$5:$A$254,W$3))</f>
        <v/>
      </c>
      <c r="X11" s="14">
        <f>IF(SUMIFS(Выработка!$F$5:$F$254,Выработка!$C$5:$C$254,$A11,Выработка!$A$5:$A$254,X$3)=0,"",SUMIFS(Выработка!$F$5:$F$254,Выработка!$C$5:$C$254,$A11,Выработка!$A$5:$A$254,X$3))</f>
        <v/>
      </c>
      <c r="Y11" s="14">
        <f>IF(SUMIFS(Выработка!$F$5:$F$254,Выработка!$C$5:$C$254,$A11,Выработка!$A$5:$A$254,Y$3)=0,"",SUMIFS(Выработка!$F$5:$F$254,Выработка!$C$5:$C$254,$A11,Выработка!$A$5:$A$254,Y$3))</f>
        <v/>
      </c>
      <c r="Z11" s="14">
        <f>IF(SUMIFS(Выработка!$F$5:$F$254,Выработка!$C$5:$C$254,$A11,Выработка!$A$5:$A$254,Z$3)=0,"",SUMIFS(Выработка!$F$5:$F$254,Выработка!$C$5:$C$254,$A11,Выработка!$A$5:$A$254,Z$3))</f>
        <v/>
      </c>
      <c r="AA11" s="14">
        <f>IF(SUMIFS(Выработка!$F$5:$F$254,Выработка!$C$5:$C$254,$A11,Выработка!$A$5:$A$254,AA$3)=0,"",SUMIFS(Выработка!$F$5:$F$254,Выработка!$C$5:$C$254,$A11,Выработка!$A$5:$A$254,AA$3))</f>
        <v/>
      </c>
      <c r="AB11" s="14">
        <f>IF(SUMIFS(Выработка!$F$5:$F$254,Выработка!$C$5:$C$254,$A11,Выработка!$A$5:$A$254,AB$3)=0,"",SUMIFS(Выработка!$F$5:$F$254,Выработка!$C$5:$C$254,$A11,Выработка!$A$5:$A$254,AB$3))</f>
        <v/>
      </c>
      <c r="AC11" s="14">
        <f>IF(SUMIFS(Выработка!$F$5:$F$254,Выработка!$C$5:$C$254,$A11,Выработка!$A$5:$A$254,AC$3)=0,"",SUMIFS(Выработка!$F$5:$F$254,Выработка!$C$5:$C$254,$A11,Выработка!$A$5:$A$254,AC$3))</f>
        <v/>
      </c>
      <c r="AD11" s="14">
        <f>IF(SUMIFS(Выработка!$F$5:$F$254,Выработка!$C$5:$C$254,$A11,Выработка!$A$5:$A$254,AD$3)=0,"",SUMIFS(Выработка!$F$5:$F$254,Выработка!$C$5:$C$254,$A11,Выработка!$A$5:$A$254,AD$3))</f>
        <v/>
      </c>
      <c r="AE11" s="14">
        <f>IF(SUMIFS(Выработка!$F$5:$F$254,Выработка!$C$5:$C$254,$A11,Выработка!$A$5:$A$254,AE$3)=0,"",SUMIFS(Выработка!$F$5:$F$254,Выработка!$C$5:$C$254,$A11,Выработка!$A$5:$A$254,AE$3))</f>
        <v/>
      </c>
      <c r="AF11" s="14">
        <f>IF(SUMIFS(Выработка!$F$5:$F$254,Выработка!$C$5:$C$254,$A11,Выработка!$A$5:$A$254,AF$3)=0,"",SUMIFS(Выработка!$F$5:$F$254,Выработка!$C$5:$C$254,$A11,Выработка!$A$5:$A$254,AF$3))</f>
        <v/>
      </c>
      <c r="AG11" s="14">
        <f>SUM(C11:AF11)</f>
        <v/>
      </c>
    </row>
    <row r="12">
      <c r="A12" s="13" t="inlineStr">
        <is>
          <t>Культивация№1</t>
        </is>
      </c>
      <c r="B12" s="14">
        <f>SUMIF(Выработка!$C$5:$C$254,$A12,Выработка!$F$5:$F$254)</f>
        <v/>
      </c>
      <c r="C12" s="14">
        <f>IF(SUMIFS(Выработка!$F$5:$F$254,Выработка!$C$5:$C$254,$A12,Выработка!$A$5:$A$254,C$3)=0,"",SUMIFS(Выработка!$F$5:$F$254,Выработка!$C$5:$C$254,$A12,Выработка!$A$5:$A$254,C$3))</f>
        <v/>
      </c>
      <c r="D12" s="14">
        <f>IF(SUMIFS(Выработка!$F$5:$F$254,Выработка!$C$5:$C$254,$A12,Выработка!$A$5:$A$254,D$3)=0,"",SUMIFS(Выработка!$F$5:$F$254,Выработка!$C$5:$C$254,$A12,Выработка!$A$5:$A$254,D$3))</f>
        <v/>
      </c>
      <c r="E12" s="14">
        <f>IF(SUMIFS(Выработка!$F$5:$F$254,Выработка!$C$5:$C$254,$A12,Выработка!$A$5:$A$254,E$3)=0,"",SUMIFS(Выработка!$F$5:$F$254,Выработка!$C$5:$C$254,$A12,Выработка!$A$5:$A$254,E$3))</f>
        <v/>
      </c>
      <c r="F12" s="14">
        <f>IF(SUMIFS(Выработка!$F$5:$F$254,Выработка!$C$5:$C$254,$A12,Выработка!$A$5:$A$254,F$3)=0,"",SUMIFS(Выработка!$F$5:$F$254,Выработка!$C$5:$C$254,$A12,Выработка!$A$5:$A$254,F$3))</f>
        <v/>
      </c>
      <c r="G12" s="14">
        <f>IF(SUMIFS(Выработка!$F$5:$F$254,Выработка!$C$5:$C$254,$A12,Выработка!$A$5:$A$254,G$3)=0,"",SUMIFS(Выработка!$F$5:$F$254,Выработка!$C$5:$C$254,$A12,Выработка!$A$5:$A$254,G$3))</f>
        <v/>
      </c>
      <c r="H12" s="14">
        <f>IF(SUMIFS(Выработка!$F$5:$F$254,Выработка!$C$5:$C$254,$A12,Выработка!$A$5:$A$254,H$3)=0,"",SUMIFS(Выработка!$F$5:$F$254,Выработка!$C$5:$C$254,$A12,Выработка!$A$5:$A$254,H$3))</f>
        <v/>
      </c>
      <c r="I12" s="14">
        <f>IF(SUMIFS(Выработка!$F$5:$F$254,Выработка!$C$5:$C$254,$A12,Выработка!$A$5:$A$254,I$3)=0,"",SUMIFS(Выработка!$F$5:$F$254,Выработка!$C$5:$C$254,$A12,Выработка!$A$5:$A$254,I$3))</f>
        <v/>
      </c>
      <c r="J12" s="14">
        <f>IF(SUMIFS(Выработка!$F$5:$F$254,Выработка!$C$5:$C$254,$A12,Выработка!$A$5:$A$254,J$3)=0,"",SUMIFS(Выработка!$F$5:$F$254,Выработка!$C$5:$C$254,$A12,Выработка!$A$5:$A$254,J$3))</f>
        <v/>
      </c>
      <c r="K12" s="14">
        <f>IF(SUMIFS(Выработка!$F$5:$F$254,Выработка!$C$5:$C$254,$A12,Выработка!$A$5:$A$254,K$3)=0,"",SUMIFS(Выработка!$F$5:$F$254,Выработка!$C$5:$C$254,$A12,Выработка!$A$5:$A$254,K$3))</f>
        <v/>
      </c>
      <c r="L12" s="14">
        <f>IF(SUMIFS(Выработка!$F$5:$F$254,Выработка!$C$5:$C$254,$A12,Выработка!$A$5:$A$254,L$3)=0,"",SUMIFS(Выработка!$F$5:$F$254,Выработка!$C$5:$C$254,$A12,Выработка!$A$5:$A$254,L$3))</f>
        <v/>
      </c>
      <c r="M12" s="14">
        <f>IF(SUMIFS(Выработка!$F$5:$F$254,Выработка!$C$5:$C$254,$A12,Выработка!$A$5:$A$254,M$3)=0,"",SUMIFS(Выработка!$F$5:$F$254,Выработка!$C$5:$C$254,$A12,Выработка!$A$5:$A$254,M$3))</f>
        <v/>
      </c>
      <c r="N12" s="14">
        <f>IF(SUMIFS(Выработка!$F$5:$F$254,Выработка!$C$5:$C$254,$A12,Выработка!$A$5:$A$254,N$3)=0,"",SUMIFS(Выработка!$F$5:$F$254,Выработка!$C$5:$C$254,$A12,Выработка!$A$5:$A$254,N$3))</f>
        <v/>
      </c>
      <c r="O12" s="14">
        <f>IF(SUMIFS(Выработка!$F$5:$F$254,Выработка!$C$5:$C$254,$A12,Выработка!$A$5:$A$254,O$3)=0,"",SUMIFS(Выработка!$F$5:$F$254,Выработка!$C$5:$C$254,$A12,Выработка!$A$5:$A$254,O$3))</f>
        <v/>
      </c>
      <c r="P12" s="14">
        <f>IF(SUMIFS(Выработка!$F$5:$F$254,Выработка!$C$5:$C$254,$A12,Выработка!$A$5:$A$254,P$3)=0,"",SUMIFS(Выработка!$F$5:$F$254,Выработка!$C$5:$C$254,$A12,Выработка!$A$5:$A$254,P$3))</f>
        <v/>
      </c>
      <c r="Q12" s="14">
        <f>IF(SUMIFS(Выработка!$F$5:$F$254,Выработка!$C$5:$C$254,$A12,Выработка!$A$5:$A$254,Q$3)=0,"",SUMIFS(Выработка!$F$5:$F$254,Выработка!$C$5:$C$254,$A12,Выработка!$A$5:$A$254,Q$3))</f>
        <v/>
      </c>
      <c r="R12" s="14">
        <f>IF(SUMIFS(Выработка!$F$5:$F$254,Выработка!$C$5:$C$254,$A12,Выработка!$A$5:$A$254,R$3)=0,"",SUMIFS(Выработка!$F$5:$F$254,Выработка!$C$5:$C$254,$A12,Выработка!$A$5:$A$254,R$3))</f>
        <v/>
      </c>
      <c r="S12" s="14">
        <f>IF(SUMIFS(Выработка!$F$5:$F$254,Выработка!$C$5:$C$254,$A12,Выработка!$A$5:$A$254,S$3)=0,"",SUMIFS(Выработка!$F$5:$F$254,Выработка!$C$5:$C$254,$A12,Выработка!$A$5:$A$254,S$3))</f>
        <v/>
      </c>
      <c r="T12" s="14">
        <f>IF(SUMIFS(Выработка!$F$5:$F$254,Выработка!$C$5:$C$254,$A12,Выработка!$A$5:$A$254,T$3)=0,"",SUMIFS(Выработка!$F$5:$F$254,Выработка!$C$5:$C$254,$A12,Выработка!$A$5:$A$254,T$3))</f>
        <v/>
      </c>
      <c r="U12" s="14">
        <f>IF(SUMIFS(Выработка!$F$5:$F$254,Выработка!$C$5:$C$254,$A12,Выработка!$A$5:$A$254,U$3)=0,"",SUMIFS(Выработка!$F$5:$F$254,Выработка!$C$5:$C$254,$A12,Выработка!$A$5:$A$254,U$3))</f>
        <v/>
      </c>
      <c r="V12" s="14">
        <f>IF(SUMIFS(Выработка!$F$5:$F$254,Выработка!$C$5:$C$254,$A12,Выработка!$A$5:$A$254,V$3)=0,"",SUMIFS(Выработка!$F$5:$F$254,Выработка!$C$5:$C$254,$A12,Выработка!$A$5:$A$254,V$3))</f>
        <v/>
      </c>
      <c r="W12" s="14">
        <f>IF(SUMIFS(Выработка!$F$5:$F$254,Выработка!$C$5:$C$254,$A12,Выработка!$A$5:$A$254,W$3)=0,"",SUMIFS(Выработка!$F$5:$F$254,Выработка!$C$5:$C$254,$A12,Выработка!$A$5:$A$254,W$3))</f>
        <v/>
      </c>
      <c r="X12" s="14">
        <f>IF(SUMIFS(Выработка!$F$5:$F$254,Выработка!$C$5:$C$254,$A12,Выработка!$A$5:$A$254,X$3)=0,"",SUMIFS(Выработка!$F$5:$F$254,Выработка!$C$5:$C$254,$A12,Выработка!$A$5:$A$254,X$3))</f>
        <v/>
      </c>
      <c r="Y12" s="14">
        <f>IF(SUMIFS(Выработка!$F$5:$F$254,Выработка!$C$5:$C$254,$A12,Выработка!$A$5:$A$254,Y$3)=0,"",SUMIFS(Выработка!$F$5:$F$254,Выработка!$C$5:$C$254,$A12,Выработка!$A$5:$A$254,Y$3))</f>
        <v/>
      </c>
      <c r="Z12" s="14">
        <f>IF(SUMIFS(Выработка!$F$5:$F$254,Выработка!$C$5:$C$254,$A12,Выработка!$A$5:$A$254,Z$3)=0,"",SUMIFS(Выработка!$F$5:$F$254,Выработка!$C$5:$C$254,$A12,Выработка!$A$5:$A$254,Z$3))</f>
        <v/>
      </c>
      <c r="AA12" s="14">
        <f>IF(SUMIFS(Выработка!$F$5:$F$254,Выработка!$C$5:$C$254,$A12,Выработка!$A$5:$A$254,AA$3)=0,"",SUMIFS(Выработка!$F$5:$F$254,Выработка!$C$5:$C$254,$A12,Выработка!$A$5:$A$254,AA$3))</f>
        <v/>
      </c>
      <c r="AB12" s="14">
        <f>IF(SUMIFS(Выработка!$F$5:$F$254,Выработка!$C$5:$C$254,$A12,Выработка!$A$5:$A$254,AB$3)=0,"",SUMIFS(Выработка!$F$5:$F$254,Выработка!$C$5:$C$254,$A12,Выработка!$A$5:$A$254,AB$3))</f>
        <v/>
      </c>
      <c r="AC12" s="14">
        <f>IF(SUMIFS(Выработка!$F$5:$F$254,Выработка!$C$5:$C$254,$A12,Выработка!$A$5:$A$254,AC$3)=0,"",SUMIFS(Выработка!$F$5:$F$254,Выработка!$C$5:$C$254,$A12,Выработка!$A$5:$A$254,AC$3))</f>
        <v/>
      </c>
      <c r="AD12" s="14">
        <f>IF(SUMIFS(Выработка!$F$5:$F$254,Выработка!$C$5:$C$254,$A12,Выработка!$A$5:$A$254,AD$3)=0,"",SUMIFS(Выработка!$F$5:$F$254,Выработка!$C$5:$C$254,$A12,Выработка!$A$5:$A$254,AD$3))</f>
        <v/>
      </c>
      <c r="AE12" s="14">
        <f>IF(SUMIFS(Выработка!$F$5:$F$254,Выработка!$C$5:$C$254,$A12,Выработка!$A$5:$A$254,AE$3)=0,"",SUMIFS(Выработка!$F$5:$F$254,Выработка!$C$5:$C$254,$A12,Выработка!$A$5:$A$254,AE$3))</f>
        <v/>
      </c>
      <c r="AF12" s="14">
        <f>IF(SUMIFS(Выработка!$F$5:$F$254,Выработка!$C$5:$C$254,$A12,Выработка!$A$5:$A$254,AF$3)=0,"",SUMIFS(Выработка!$F$5:$F$254,Выработка!$C$5:$C$254,$A12,Выработка!$A$5:$A$254,AF$3))</f>
        <v/>
      </c>
      <c r="AG12" s="14">
        <f>SUM(C12:AF12)</f>
        <v/>
      </c>
    </row>
    <row r="13">
      <c r="A13" s="13" t="inlineStr">
        <is>
          <t>Культивация№111</t>
        </is>
      </c>
      <c r="B13" s="14">
        <f>SUMIF(Выработка!$C$5:$C$254,$A13,Выработка!$F$5:$F$254)</f>
        <v/>
      </c>
      <c r="C13" s="14">
        <f>IF(SUMIFS(Выработка!$F$5:$F$254,Выработка!$C$5:$C$254,$A13,Выработка!$A$5:$A$254,C$3)=0,"",SUMIFS(Выработка!$F$5:$F$254,Выработка!$C$5:$C$254,$A13,Выработка!$A$5:$A$254,C$3))</f>
        <v/>
      </c>
      <c r="D13" s="14">
        <f>IF(SUMIFS(Выработка!$F$5:$F$254,Выработка!$C$5:$C$254,$A13,Выработка!$A$5:$A$254,D$3)=0,"",SUMIFS(Выработка!$F$5:$F$254,Выработка!$C$5:$C$254,$A13,Выработка!$A$5:$A$254,D$3))</f>
        <v/>
      </c>
      <c r="E13" s="14">
        <f>IF(SUMIFS(Выработка!$F$5:$F$254,Выработка!$C$5:$C$254,$A13,Выработка!$A$5:$A$254,E$3)=0,"",SUMIFS(Выработка!$F$5:$F$254,Выработка!$C$5:$C$254,$A13,Выработка!$A$5:$A$254,E$3))</f>
        <v/>
      </c>
      <c r="F13" s="14">
        <f>IF(SUMIFS(Выработка!$F$5:$F$254,Выработка!$C$5:$C$254,$A13,Выработка!$A$5:$A$254,F$3)=0,"",SUMIFS(Выработка!$F$5:$F$254,Выработка!$C$5:$C$254,$A13,Выработка!$A$5:$A$254,F$3))</f>
        <v/>
      </c>
      <c r="G13" s="14">
        <f>IF(SUMIFS(Выработка!$F$5:$F$254,Выработка!$C$5:$C$254,$A13,Выработка!$A$5:$A$254,G$3)=0,"",SUMIFS(Выработка!$F$5:$F$254,Выработка!$C$5:$C$254,$A13,Выработка!$A$5:$A$254,G$3))</f>
        <v/>
      </c>
      <c r="H13" s="14">
        <f>IF(SUMIFS(Выработка!$F$5:$F$254,Выработка!$C$5:$C$254,$A13,Выработка!$A$5:$A$254,H$3)=0,"",SUMIFS(Выработка!$F$5:$F$254,Выработка!$C$5:$C$254,$A13,Выработка!$A$5:$A$254,H$3))</f>
        <v/>
      </c>
      <c r="I13" s="14">
        <f>IF(SUMIFS(Выработка!$F$5:$F$254,Выработка!$C$5:$C$254,$A13,Выработка!$A$5:$A$254,I$3)=0,"",SUMIFS(Выработка!$F$5:$F$254,Выработка!$C$5:$C$254,$A13,Выработка!$A$5:$A$254,I$3))</f>
        <v/>
      </c>
      <c r="J13" s="14">
        <f>IF(SUMIFS(Выработка!$F$5:$F$254,Выработка!$C$5:$C$254,$A13,Выработка!$A$5:$A$254,J$3)=0,"",SUMIFS(Выработка!$F$5:$F$254,Выработка!$C$5:$C$254,$A13,Выработка!$A$5:$A$254,J$3))</f>
        <v/>
      </c>
      <c r="K13" s="14">
        <f>IF(SUMIFS(Выработка!$F$5:$F$254,Выработка!$C$5:$C$254,$A13,Выработка!$A$5:$A$254,K$3)=0,"",SUMIFS(Выработка!$F$5:$F$254,Выработка!$C$5:$C$254,$A13,Выработка!$A$5:$A$254,K$3))</f>
        <v/>
      </c>
      <c r="L13" s="14">
        <f>IF(SUMIFS(Выработка!$F$5:$F$254,Выработка!$C$5:$C$254,$A13,Выработка!$A$5:$A$254,L$3)=0,"",SUMIFS(Выработка!$F$5:$F$254,Выработка!$C$5:$C$254,$A13,Выработка!$A$5:$A$254,L$3))</f>
        <v/>
      </c>
      <c r="M13" s="14">
        <f>IF(SUMIFS(Выработка!$F$5:$F$254,Выработка!$C$5:$C$254,$A13,Выработка!$A$5:$A$254,M$3)=0,"",SUMIFS(Выработка!$F$5:$F$254,Выработка!$C$5:$C$254,$A13,Выработка!$A$5:$A$254,M$3))</f>
        <v/>
      </c>
      <c r="N13" s="14">
        <f>IF(SUMIFS(Выработка!$F$5:$F$254,Выработка!$C$5:$C$254,$A13,Выработка!$A$5:$A$254,N$3)=0,"",SUMIFS(Выработка!$F$5:$F$254,Выработка!$C$5:$C$254,$A13,Выработка!$A$5:$A$254,N$3))</f>
        <v/>
      </c>
      <c r="O13" s="14">
        <f>IF(SUMIFS(Выработка!$F$5:$F$254,Выработка!$C$5:$C$254,$A13,Выработка!$A$5:$A$254,O$3)=0,"",SUMIFS(Выработка!$F$5:$F$254,Выработка!$C$5:$C$254,$A13,Выработка!$A$5:$A$254,O$3))</f>
        <v/>
      </c>
      <c r="P13" s="14">
        <f>IF(SUMIFS(Выработка!$F$5:$F$254,Выработка!$C$5:$C$254,$A13,Выработка!$A$5:$A$254,P$3)=0,"",SUMIFS(Выработка!$F$5:$F$254,Выработка!$C$5:$C$254,$A13,Выработка!$A$5:$A$254,P$3))</f>
        <v/>
      </c>
      <c r="Q13" s="14">
        <f>IF(SUMIFS(Выработка!$F$5:$F$254,Выработка!$C$5:$C$254,$A13,Выработка!$A$5:$A$254,Q$3)=0,"",SUMIFS(Выработка!$F$5:$F$254,Выработка!$C$5:$C$254,$A13,Выработка!$A$5:$A$254,Q$3))</f>
        <v/>
      </c>
      <c r="R13" s="14">
        <f>IF(SUMIFS(Выработка!$F$5:$F$254,Выработка!$C$5:$C$254,$A13,Выработка!$A$5:$A$254,R$3)=0,"",SUMIFS(Выработка!$F$5:$F$254,Выработка!$C$5:$C$254,$A13,Выработка!$A$5:$A$254,R$3))</f>
        <v/>
      </c>
      <c r="S13" s="14">
        <f>IF(SUMIFS(Выработка!$F$5:$F$254,Выработка!$C$5:$C$254,$A13,Выработка!$A$5:$A$254,S$3)=0,"",SUMIFS(Выработка!$F$5:$F$254,Выработка!$C$5:$C$254,$A13,Выработка!$A$5:$A$254,S$3))</f>
        <v/>
      </c>
      <c r="T13" s="14">
        <f>IF(SUMIFS(Выработка!$F$5:$F$254,Выработка!$C$5:$C$254,$A13,Выработка!$A$5:$A$254,T$3)=0,"",SUMIFS(Выработка!$F$5:$F$254,Выработка!$C$5:$C$254,$A13,Выработка!$A$5:$A$254,T$3))</f>
        <v/>
      </c>
      <c r="U13" s="14">
        <f>IF(SUMIFS(Выработка!$F$5:$F$254,Выработка!$C$5:$C$254,$A13,Выработка!$A$5:$A$254,U$3)=0,"",SUMIFS(Выработка!$F$5:$F$254,Выработка!$C$5:$C$254,$A13,Выработка!$A$5:$A$254,U$3))</f>
        <v/>
      </c>
      <c r="V13" s="14">
        <f>IF(SUMIFS(Выработка!$F$5:$F$254,Выработка!$C$5:$C$254,$A13,Выработка!$A$5:$A$254,V$3)=0,"",SUMIFS(Выработка!$F$5:$F$254,Выработка!$C$5:$C$254,$A13,Выработка!$A$5:$A$254,V$3))</f>
        <v/>
      </c>
      <c r="W13" s="14">
        <f>IF(SUMIFS(Выработка!$F$5:$F$254,Выработка!$C$5:$C$254,$A13,Выработка!$A$5:$A$254,W$3)=0,"",SUMIFS(Выработка!$F$5:$F$254,Выработка!$C$5:$C$254,$A13,Выработка!$A$5:$A$254,W$3))</f>
        <v/>
      </c>
      <c r="X13" s="14">
        <f>IF(SUMIFS(Выработка!$F$5:$F$254,Выработка!$C$5:$C$254,$A13,Выработка!$A$5:$A$254,X$3)=0,"",SUMIFS(Выработка!$F$5:$F$254,Выработка!$C$5:$C$254,$A13,Выработка!$A$5:$A$254,X$3))</f>
        <v/>
      </c>
      <c r="Y13" s="14">
        <f>IF(SUMIFS(Выработка!$F$5:$F$254,Выработка!$C$5:$C$254,$A13,Выработка!$A$5:$A$254,Y$3)=0,"",SUMIFS(Выработка!$F$5:$F$254,Выработка!$C$5:$C$254,$A13,Выработка!$A$5:$A$254,Y$3))</f>
        <v/>
      </c>
      <c r="Z13" s="14">
        <f>IF(SUMIFS(Выработка!$F$5:$F$254,Выработка!$C$5:$C$254,$A13,Выработка!$A$5:$A$254,Z$3)=0,"",SUMIFS(Выработка!$F$5:$F$254,Выработка!$C$5:$C$254,$A13,Выработка!$A$5:$A$254,Z$3))</f>
        <v/>
      </c>
      <c r="AA13" s="14">
        <f>IF(SUMIFS(Выработка!$F$5:$F$254,Выработка!$C$5:$C$254,$A13,Выработка!$A$5:$A$254,AA$3)=0,"",SUMIFS(Выработка!$F$5:$F$254,Выработка!$C$5:$C$254,$A13,Выработка!$A$5:$A$254,AA$3))</f>
        <v/>
      </c>
      <c r="AB13" s="14">
        <f>IF(SUMIFS(Выработка!$F$5:$F$254,Выработка!$C$5:$C$254,$A13,Выработка!$A$5:$A$254,AB$3)=0,"",SUMIFS(Выработка!$F$5:$F$254,Выработка!$C$5:$C$254,$A13,Выработка!$A$5:$A$254,AB$3))</f>
        <v/>
      </c>
      <c r="AC13" s="14">
        <f>IF(SUMIFS(Выработка!$F$5:$F$254,Выработка!$C$5:$C$254,$A13,Выработка!$A$5:$A$254,AC$3)=0,"",SUMIFS(Выработка!$F$5:$F$254,Выработка!$C$5:$C$254,$A13,Выработка!$A$5:$A$254,AC$3))</f>
        <v/>
      </c>
      <c r="AD13" s="14">
        <f>IF(SUMIFS(Выработка!$F$5:$F$254,Выработка!$C$5:$C$254,$A13,Выработка!$A$5:$A$254,AD$3)=0,"",SUMIFS(Выработка!$F$5:$F$254,Выработка!$C$5:$C$254,$A13,Выработка!$A$5:$A$254,AD$3))</f>
        <v/>
      </c>
      <c r="AE13" s="14">
        <f>IF(SUMIFS(Выработка!$F$5:$F$254,Выработка!$C$5:$C$254,$A13,Выработка!$A$5:$A$254,AE$3)=0,"",SUMIFS(Выработка!$F$5:$F$254,Выработка!$C$5:$C$254,$A13,Выработка!$A$5:$A$254,AE$3))</f>
        <v/>
      </c>
      <c r="AF13" s="14">
        <f>IF(SUMIFS(Выработка!$F$5:$F$254,Выработка!$C$5:$C$254,$A13,Выработка!$A$5:$A$254,AF$3)=0,"",SUMIFS(Выработка!$F$5:$F$254,Выработка!$C$5:$C$254,$A13,Выработка!$A$5:$A$254,AF$3))</f>
        <v/>
      </c>
      <c r="AG13" s="14">
        <f>SUM(C13:AF13)</f>
        <v/>
      </c>
    </row>
    <row r="14">
      <c r="A14" s="13" t="inlineStr">
        <is>
          <t>СЕВ СЛАДКОЙ КУКУРУЗЫ</t>
        </is>
      </c>
      <c r="B14" s="14">
        <f>SUMIF(Выработка!$C$5:$C$254,$A14,Выработка!$F$5:$F$254)</f>
        <v/>
      </c>
      <c r="C14" s="14">
        <f>IF(SUMIFS(Выработка!$F$5:$F$254,Выработка!$C$5:$C$254,$A14,Выработка!$A$5:$A$254,C$3)=0,"",SUMIFS(Выработка!$F$5:$F$254,Выработка!$C$5:$C$254,$A14,Выработка!$A$5:$A$254,C$3))</f>
        <v/>
      </c>
      <c r="D14" s="14">
        <f>IF(SUMIFS(Выработка!$F$5:$F$254,Выработка!$C$5:$C$254,$A14,Выработка!$A$5:$A$254,D$3)=0,"",SUMIFS(Выработка!$F$5:$F$254,Выработка!$C$5:$C$254,$A14,Выработка!$A$5:$A$254,D$3))</f>
        <v/>
      </c>
      <c r="E14" s="14">
        <f>IF(SUMIFS(Выработка!$F$5:$F$254,Выработка!$C$5:$C$254,$A14,Выработка!$A$5:$A$254,E$3)=0,"",SUMIFS(Выработка!$F$5:$F$254,Выработка!$C$5:$C$254,$A14,Выработка!$A$5:$A$254,E$3))</f>
        <v/>
      </c>
      <c r="F14" s="14">
        <f>IF(SUMIFS(Выработка!$F$5:$F$254,Выработка!$C$5:$C$254,$A14,Выработка!$A$5:$A$254,F$3)=0,"",SUMIFS(Выработка!$F$5:$F$254,Выработка!$C$5:$C$254,$A14,Выработка!$A$5:$A$254,F$3))</f>
        <v/>
      </c>
      <c r="G14" s="14">
        <f>IF(SUMIFS(Выработка!$F$5:$F$254,Выработка!$C$5:$C$254,$A14,Выработка!$A$5:$A$254,G$3)=0,"",SUMIFS(Выработка!$F$5:$F$254,Выработка!$C$5:$C$254,$A14,Выработка!$A$5:$A$254,G$3))</f>
        <v/>
      </c>
      <c r="H14" s="14">
        <f>IF(SUMIFS(Выработка!$F$5:$F$254,Выработка!$C$5:$C$254,$A14,Выработка!$A$5:$A$254,H$3)=0,"",SUMIFS(Выработка!$F$5:$F$254,Выработка!$C$5:$C$254,$A14,Выработка!$A$5:$A$254,H$3))</f>
        <v/>
      </c>
      <c r="I14" s="14">
        <f>IF(SUMIFS(Выработка!$F$5:$F$254,Выработка!$C$5:$C$254,$A14,Выработка!$A$5:$A$254,I$3)=0,"",SUMIFS(Выработка!$F$5:$F$254,Выработка!$C$5:$C$254,$A14,Выработка!$A$5:$A$254,I$3))</f>
        <v/>
      </c>
      <c r="J14" s="14">
        <f>IF(SUMIFS(Выработка!$F$5:$F$254,Выработка!$C$5:$C$254,$A14,Выработка!$A$5:$A$254,J$3)=0,"",SUMIFS(Выработка!$F$5:$F$254,Выработка!$C$5:$C$254,$A14,Выработка!$A$5:$A$254,J$3))</f>
        <v/>
      </c>
      <c r="K14" s="14">
        <f>IF(SUMIFS(Выработка!$F$5:$F$254,Выработка!$C$5:$C$254,$A14,Выработка!$A$5:$A$254,K$3)=0,"",SUMIFS(Выработка!$F$5:$F$254,Выработка!$C$5:$C$254,$A14,Выработка!$A$5:$A$254,K$3))</f>
        <v/>
      </c>
      <c r="L14" s="14">
        <f>IF(SUMIFS(Выработка!$F$5:$F$254,Выработка!$C$5:$C$254,$A14,Выработка!$A$5:$A$254,L$3)=0,"",SUMIFS(Выработка!$F$5:$F$254,Выработка!$C$5:$C$254,$A14,Выработка!$A$5:$A$254,L$3))</f>
        <v/>
      </c>
      <c r="M14" s="14">
        <f>IF(SUMIFS(Выработка!$F$5:$F$254,Выработка!$C$5:$C$254,$A14,Выработка!$A$5:$A$254,M$3)=0,"",SUMIFS(Выработка!$F$5:$F$254,Выработка!$C$5:$C$254,$A14,Выработка!$A$5:$A$254,M$3))</f>
        <v/>
      </c>
      <c r="N14" s="14">
        <f>IF(SUMIFS(Выработка!$F$5:$F$254,Выработка!$C$5:$C$254,$A14,Выработка!$A$5:$A$254,N$3)=0,"",SUMIFS(Выработка!$F$5:$F$254,Выработка!$C$5:$C$254,$A14,Выработка!$A$5:$A$254,N$3))</f>
        <v/>
      </c>
      <c r="O14" s="14">
        <f>IF(SUMIFS(Выработка!$F$5:$F$254,Выработка!$C$5:$C$254,$A14,Выработка!$A$5:$A$254,O$3)=0,"",SUMIFS(Выработка!$F$5:$F$254,Выработка!$C$5:$C$254,$A14,Выработка!$A$5:$A$254,O$3))</f>
        <v/>
      </c>
      <c r="P14" s="14">
        <f>IF(SUMIFS(Выработка!$F$5:$F$254,Выработка!$C$5:$C$254,$A14,Выработка!$A$5:$A$254,P$3)=0,"",SUMIFS(Выработка!$F$5:$F$254,Выработка!$C$5:$C$254,$A14,Выработка!$A$5:$A$254,P$3))</f>
        <v/>
      </c>
      <c r="Q14" s="14">
        <f>IF(SUMIFS(Выработка!$F$5:$F$254,Выработка!$C$5:$C$254,$A14,Выработка!$A$5:$A$254,Q$3)=0,"",SUMIFS(Выработка!$F$5:$F$254,Выработка!$C$5:$C$254,$A14,Выработка!$A$5:$A$254,Q$3))</f>
        <v/>
      </c>
      <c r="R14" s="14">
        <f>IF(SUMIFS(Выработка!$F$5:$F$254,Выработка!$C$5:$C$254,$A14,Выработка!$A$5:$A$254,R$3)=0,"",SUMIFS(Выработка!$F$5:$F$254,Выработка!$C$5:$C$254,$A14,Выработка!$A$5:$A$254,R$3))</f>
        <v/>
      </c>
      <c r="S14" s="14">
        <f>IF(SUMIFS(Выработка!$F$5:$F$254,Выработка!$C$5:$C$254,$A14,Выработка!$A$5:$A$254,S$3)=0,"",SUMIFS(Выработка!$F$5:$F$254,Выработка!$C$5:$C$254,$A14,Выработка!$A$5:$A$254,S$3))</f>
        <v/>
      </c>
      <c r="T14" s="14">
        <f>IF(SUMIFS(Выработка!$F$5:$F$254,Выработка!$C$5:$C$254,$A14,Выработка!$A$5:$A$254,T$3)=0,"",SUMIFS(Выработка!$F$5:$F$254,Выработка!$C$5:$C$254,$A14,Выработка!$A$5:$A$254,T$3))</f>
        <v/>
      </c>
      <c r="U14" s="14">
        <f>IF(SUMIFS(Выработка!$F$5:$F$254,Выработка!$C$5:$C$254,$A14,Выработка!$A$5:$A$254,U$3)=0,"",SUMIFS(Выработка!$F$5:$F$254,Выработка!$C$5:$C$254,$A14,Выработка!$A$5:$A$254,U$3))</f>
        <v/>
      </c>
      <c r="V14" s="14">
        <f>IF(SUMIFS(Выработка!$F$5:$F$254,Выработка!$C$5:$C$254,$A14,Выработка!$A$5:$A$254,V$3)=0,"",SUMIFS(Выработка!$F$5:$F$254,Выработка!$C$5:$C$254,$A14,Выработка!$A$5:$A$254,V$3))</f>
        <v/>
      </c>
      <c r="W14" s="14">
        <f>IF(SUMIFS(Выработка!$F$5:$F$254,Выработка!$C$5:$C$254,$A14,Выработка!$A$5:$A$254,W$3)=0,"",SUMIFS(Выработка!$F$5:$F$254,Выработка!$C$5:$C$254,$A14,Выработка!$A$5:$A$254,W$3))</f>
        <v/>
      </c>
      <c r="X14" s="14">
        <f>IF(SUMIFS(Выработка!$F$5:$F$254,Выработка!$C$5:$C$254,$A14,Выработка!$A$5:$A$254,X$3)=0,"",SUMIFS(Выработка!$F$5:$F$254,Выработка!$C$5:$C$254,$A14,Выработка!$A$5:$A$254,X$3))</f>
        <v/>
      </c>
      <c r="Y14" s="14">
        <f>IF(SUMIFS(Выработка!$F$5:$F$254,Выработка!$C$5:$C$254,$A14,Выработка!$A$5:$A$254,Y$3)=0,"",SUMIFS(Выработка!$F$5:$F$254,Выработка!$C$5:$C$254,$A14,Выработка!$A$5:$A$254,Y$3))</f>
        <v/>
      </c>
      <c r="Z14" s="14">
        <f>IF(SUMIFS(Выработка!$F$5:$F$254,Выработка!$C$5:$C$254,$A14,Выработка!$A$5:$A$254,Z$3)=0,"",SUMIFS(Выработка!$F$5:$F$254,Выработка!$C$5:$C$254,$A14,Выработка!$A$5:$A$254,Z$3))</f>
        <v/>
      </c>
      <c r="AA14" s="14">
        <f>IF(SUMIFS(Выработка!$F$5:$F$254,Выработка!$C$5:$C$254,$A14,Выработка!$A$5:$A$254,AA$3)=0,"",SUMIFS(Выработка!$F$5:$F$254,Выработка!$C$5:$C$254,$A14,Выработка!$A$5:$A$254,AA$3))</f>
        <v/>
      </c>
      <c r="AB14" s="14">
        <f>IF(SUMIFS(Выработка!$F$5:$F$254,Выработка!$C$5:$C$254,$A14,Выработка!$A$5:$A$254,AB$3)=0,"",SUMIFS(Выработка!$F$5:$F$254,Выработка!$C$5:$C$254,$A14,Выработка!$A$5:$A$254,AB$3))</f>
        <v/>
      </c>
      <c r="AC14" s="14">
        <f>IF(SUMIFS(Выработка!$F$5:$F$254,Выработка!$C$5:$C$254,$A14,Выработка!$A$5:$A$254,AC$3)=0,"",SUMIFS(Выработка!$F$5:$F$254,Выработка!$C$5:$C$254,$A14,Выработка!$A$5:$A$254,AC$3))</f>
        <v/>
      </c>
      <c r="AD14" s="14">
        <f>IF(SUMIFS(Выработка!$F$5:$F$254,Выработка!$C$5:$C$254,$A14,Выработка!$A$5:$A$254,AD$3)=0,"",SUMIFS(Выработка!$F$5:$F$254,Выработка!$C$5:$C$254,$A14,Выработка!$A$5:$A$254,AD$3))</f>
        <v/>
      </c>
      <c r="AE14" s="14">
        <f>IF(SUMIFS(Выработка!$F$5:$F$254,Выработка!$C$5:$C$254,$A14,Выработка!$A$5:$A$254,AE$3)=0,"",SUMIFS(Выработка!$F$5:$F$254,Выработка!$C$5:$C$254,$A14,Выработка!$A$5:$A$254,AE$3))</f>
        <v/>
      </c>
      <c r="AF14" s="14">
        <f>IF(SUMIFS(Выработка!$F$5:$F$254,Выработка!$C$5:$C$254,$A14,Выработка!$A$5:$A$254,AF$3)=0,"",SUMIFS(Выработка!$F$5:$F$254,Выработка!$C$5:$C$254,$A14,Выработка!$A$5:$A$254,AF$3))</f>
        <v/>
      </c>
      <c r="AG14" s="14">
        <f>SUM(C14:AF14)</f>
        <v/>
      </c>
    </row>
    <row r="15">
      <c r="A15" s="13" t="inlineStr">
        <is>
          <t>Прикатывание до всходов</t>
        </is>
      </c>
      <c r="B15" s="14">
        <f>SUMIF(Выработка!$C$5:$C$254,$A15,Выработка!$F$5:$F$254)</f>
        <v/>
      </c>
      <c r="C15" s="14">
        <f>IF(SUMIFS(Выработка!$F$5:$F$254,Выработка!$C$5:$C$254,$A15,Выработка!$A$5:$A$254,C$3)=0,"",SUMIFS(Выработка!$F$5:$F$254,Выработка!$C$5:$C$254,$A15,Выработка!$A$5:$A$254,C$3))</f>
        <v/>
      </c>
      <c r="D15" s="14">
        <f>IF(SUMIFS(Выработка!$F$5:$F$254,Выработка!$C$5:$C$254,$A15,Выработка!$A$5:$A$254,D$3)=0,"",SUMIFS(Выработка!$F$5:$F$254,Выработка!$C$5:$C$254,$A15,Выработка!$A$5:$A$254,D$3))</f>
        <v/>
      </c>
      <c r="E15" s="14">
        <f>IF(SUMIFS(Выработка!$F$5:$F$254,Выработка!$C$5:$C$254,$A15,Выработка!$A$5:$A$254,E$3)=0,"",SUMIFS(Выработка!$F$5:$F$254,Выработка!$C$5:$C$254,$A15,Выработка!$A$5:$A$254,E$3))</f>
        <v/>
      </c>
      <c r="F15" s="14">
        <f>IF(SUMIFS(Выработка!$F$5:$F$254,Выработка!$C$5:$C$254,$A15,Выработка!$A$5:$A$254,F$3)=0,"",SUMIFS(Выработка!$F$5:$F$254,Выработка!$C$5:$C$254,$A15,Выработка!$A$5:$A$254,F$3))</f>
        <v/>
      </c>
      <c r="G15" s="14">
        <f>IF(SUMIFS(Выработка!$F$5:$F$254,Выработка!$C$5:$C$254,$A15,Выработка!$A$5:$A$254,G$3)=0,"",SUMIFS(Выработка!$F$5:$F$254,Выработка!$C$5:$C$254,$A15,Выработка!$A$5:$A$254,G$3))</f>
        <v/>
      </c>
      <c r="H15" s="14">
        <f>IF(SUMIFS(Выработка!$F$5:$F$254,Выработка!$C$5:$C$254,$A15,Выработка!$A$5:$A$254,H$3)=0,"",SUMIFS(Выработка!$F$5:$F$254,Выработка!$C$5:$C$254,$A15,Выработка!$A$5:$A$254,H$3))</f>
        <v/>
      </c>
      <c r="I15" s="14">
        <f>IF(SUMIFS(Выработка!$F$5:$F$254,Выработка!$C$5:$C$254,$A15,Выработка!$A$5:$A$254,I$3)=0,"",SUMIFS(Выработка!$F$5:$F$254,Выработка!$C$5:$C$254,$A15,Выработка!$A$5:$A$254,I$3))</f>
        <v/>
      </c>
      <c r="J15" s="14">
        <f>IF(SUMIFS(Выработка!$F$5:$F$254,Выработка!$C$5:$C$254,$A15,Выработка!$A$5:$A$254,J$3)=0,"",SUMIFS(Выработка!$F$5:$F$254,Выработка!$C$5:$C$254,$A15,Выработка!$A$5:$A$254,J$3))</f>
        <v/>
      </c>
      <c r="K15" s="14">
        <f>IF(SUMIFS(Выработка!$F$5:$F$254,Выработка!$C$5:$C$254,$A15,Выработка!$A$5:$A$254,K$3)=0,"",SUMIFS(Выработка!$F$5:$F$254,Выработка!$C$5:$C$254,$A15,Выработка!$A$5:$A$254,K$3))</f>
        <v/>
      </c>
      <c r="L15" s="14">
        <f>IF(SUMIFS(Выработка!$F$5:$F$254,Выработка!$C$5:$C$254,$A15,Выработка!$A$5:$A$254,L$3)=0,"",SUMIFS(Выработка!$F$5:$F$254,Выработка!$C$5:$C$254,$A15,Выработка!$A$5:$A$254,L$3))</f>
        <v/>
      </c>
      <c r="M15" s="14">
        <f>IF(SUMIFS(Выработка!$F$5:$F$254,Выработка!$C$5:$C$254,$A15,Выработка!$A$5:$A$254,M$3)=0,"",SUMIFS(Выработка!$F$5:$F$254,Выработка!$C$5:$C$254,$A15,Выработка!$A$5:$A$254,M$3))</f>
        <v/>
      </c>
      <c r="N15" s="14">
        <f>IF(SUMIFS(Выработка!$F$5:$F$254,Выработка!$C$5:$C$254,$A15,Выработка!$A$5:$A$254,N$3)=0,"",SUMIFS(Выработка!$F$5:$F$254,Выработка!$C$5:$C$254,$A15,Выработка!$A$5:$A$254,N$3))</f>
        <v/>
      </c>
      <c r="O15" s="14">
        <f>IF(SUMIFS(Выработка!$F$5:$F$254,Выработка!$C$5:$C$254,$A15,Выработка!$A$5:$A$254,O$3)=0,"",SUMIFS(Выработка!$F$5:$F$254,Выработка!$C$5:$C$254,$A15,Выработка!$A$5:$A$254,O$3))</f>
        <v/>
      </c>
      <c r="P15" s="14">
        <f>IF(SUMIFS(Выработка!$F$5:$F$254,Выработка!$C$5:$C$254,$A15,Выработка!$A$5:$A$254,P$3)=0,"",SUMIFS(Выработка!$F$5:$F$254,Выработка!$C$5:$C$254,$A15,Выработка!$A$5:$A$254,P$3))</f>
        <v/>
      </c>
      <c r="Q15" s="14">
        <f>IF(SUMIFS(Выработка!$F$5:$F$254,Выработка!$C$5:$C$254,$A15,Выработка!$A$5:$A$254,Q$3)=0,"",SUMIFS(Выработка!$F$5:$F$254,Выработка!$C$5:$C$254,$A15,Выработка!$A$5:$A$254,Q$3))</f>
        <v/>
      </c>
      <c r="R15" s="14">
        <f>IF(SUMIFS(Выработка!$F$5:$F$254,Выработка!$C$5:$C$254,$A15,Выработка!$A$5:$A$254,R$3)=0,"",SUMIFS(Выработка!$F$5:$F$254,Выработка!$C$5:$C$254,$A15,Выработка!$A$5:$A$254,R$3))</f>
        <v/>
      </c>
      <c r="S15" s="14">
        <f>IF(SUMIFS(Выработка!$F$5:$F$254,Выработка!$C$5:$C$254,$A15,Выработка!$A$5:$A$254,S$3)=0,"",SUMIFS(Выработка!$F$5:$F$254,Выработка!$C$5:$C$254,$A15,Выработка!$A$5:$A$254,S$3))</f>
        <v/>
      </c>
      <c r="T15" s="14">
        <f>IF(SUMIFS(Выработка!$F$5:$F$254,Выработка!$C$5:$C$254,$A15,Выработка!$A$5:$A$254,T$3)=0,"",SUMIFS(Выработка!$F$5:$F$254,Выработка!$C$5:$C$254,$A15,Выработка!$A$5:$A$254,T$3))</f>
        <v/>
      </c>
      <c r="U15" s="14">
        <f>IF(SUMIFS(Выработка!$F$5:$F$254,Выработка!$C$5:$C$254,$A15,Выработка!$A$5:$A$254,U$3)=0,"",SUMIFS(Выработка!$F$5:$F$254,Выработка!$C$5:$C$254,$A15,Выработка!$A$5:$A$254,U$3))</f>
        <v/>
      </c>
      <c r="V15" s="14">
        <f>IF(SUMIFS(Выработка!$F$5:$F$254,Выработка!$C$5:$C$254,$A15,Выработка!$A$5:$A$254,V$3)=0,"",SUMIFS(Выработка!$F$5:$F$254,Выработка!$C$5:$C$254,$A15,Выработка!$A$5:$A$254,V$3))</f>
        <v/>
      </c>
      <c r="W15" s="14">
        <f>IF(SUMIFS(Выработка!$F$5:$F$254,Выработка!$C$5:$C$254,$A15,Выработка!$A$5:$A$254,W$3)=0,"",SUMIFS(Выработка!$F$5:$F$254,Выработка!$C$5:$C$254,$A15,Выработка!$A$5:$A$254,W$3))</f>
        <v/>
      </c>
      <c r="X15" s="14">
        <f>IF(SUMIFS(Выработка!$F$5:$F$254,Выработка!$C$5:$C$254,$A15,Выработка!$A$5:$A$254,X$3)=0,"",SUMIFS(Выработка!$F$5:$F$254,Выработка!$C$5:$C$254,$A15,Выработка!$A$5:$A$254,X$3))</f>
        <v/>
      </c>
      <c r="Y15" s="14">
        <f>IF(SUMIFS(Выработка!$F$5:$F$254,Выработка!$C$5:$C$254,$A15,Выработка!$A$5:$A$254,Y$3)=0,"",SUMIFS(Выработка!$F$5:$F$254,Выработка!$C$5:$C$254,$A15,Выработка!$A$5:$A$254,Y$3))</f>
        <v/>
      </c>
      <c r="Z15" s="14">
        <f>IF(SUMIFS(Выработка!$F$5:$F$254,Выработка!$C$5:$C$254,$A15,Выработка!$A$5:$A$254,Z$3)=0,"",SUMIFS(Выработка!$F$5:$F$254,Выработка!$C$5:$C$254,$A15,Выработка!$A$5:$A$254,Z$3))</f>
        <v/>
      </c>
      <c r="AA15" s="14">
        <f>IF(SUMIFS(Выработка!$F$5:$F$254,Выработка!$C$5:$C$254,$A15,Выработка!$A$5:$A$254,AA$3)=0,"",SUMIFS(Выработка!$F$5:$F$254,Выработка!$C$5:$C$254,$A15,Выработка!$A$5:$A$254,AA$3))</f>
        <v/>
      </c>
      <c r="AB15" s="14">
        <f>IF(SUMIFS(Выработка!$F$5:$F$254,Выработка!$C$5:$C$254,$A15,Выработка!$A$5:$A$254,AB$3)=0,"",SUMIFS(Выработка!$F$5:$F$254,Выработка!$C$5:$C$254,$A15,Выработка!$A$5:$A$254,AB$3))</f>
        <v/>
      </c>
      <c r="AC15" s="14">
        <f>IF(SUMIFS(Выработка!$F$5:$F$254,Выработка!$C$5:$C$254,$A15,Выработка!$A$5:$A$254,AC$3)=0,"",SUMIFS(Выработка!$F$5:$F$254,Выработка!$C$5:$C$254,$A15,Выработка!$A$5:$A$254,AC$3))</f>
        <v/>
      </c>
      <c r="AD15" s="14">
        <f>IF(SUMIFS(Выработка!$F$5:$F$254,Выработка!$C$5:$C$254,$A15,Выработка!$A$5:$A$254,AD$3)=0,"",SUMIFS(Выработка!$F$5:$F$254,Выработка!$C$5:$C$254,$A15,Выработка!$A$5:$A$254,AD$3))</f>
        <v/>
      </c>
      <c r="AE15" s="14">
        <f>IF(SUMIFS(Выработка!$F$5:$F$254,Выработка!$C$5:$C$254,$A15,Выработка!$A$5:$A$254,AE$3)=0,"",SUMIFS(Выработка!$F$5:$F$254,Выработка!$C$5:$C$254,$A15,Выработка!$A$5:$A$254,AE$3))</f>
        <v/>
      </c>
      <c r="AF15" s="14">
        <f>IF(SUMIFS(Выработка!$F$5:$F$254,Выработка!$C$5:$C$254,$A15,Выработка!$A$5:$A$254,AF$3)=0,"",SUMIFS(Выработка!$F$5:$F$254,Выработка!$C$5:$C$254,$A15,Выработка!$A$5:$A$254,AF$3))</f>
        <v/>
      </c>
      <c r="AG15" s="14">
        <f>SUM(C15:AF15)</f>
        <v/>
      </c>
    </row>
    <row r="16">
      <c r="A16" s="13" t="inlineStr">
        <is>
          <t>Культивация№2</t>
        </is>
      </c>
      <c r="B16" s="14">
        <f>SUMIF(Выработка!$C$5:$C$254,$A16,Выработка!$F$5:$F$254)</f>
        <v/>
      </c>
      <c r="C16" s="14">
        <f>IF(SUMIFS(Выработка!$F$5:$F$254,Выработка!$C$5:$C$254,$A16,Выработка!$A$5:$A$254,C$3)=0,"",SUMIFS(Выработка!$F$5:$F$254,Выработка!$C$5:$C$254,$A16,Выработка!$A$5:$A$254,C$3))</f>
        <v/>
      </c>
      <c r="D16" s="14">
        <f>IF(SUMIFS(Выработка!$F$5:$F$254,Выработка!$C$5:$C$254,$A16,Выработка!$A$5:$A$254,D$3)=0,"",SUMIFS(Выработка!$F$5:$F$254,Выработка!$C$5:$C$254,$A16,Выработка!$A$5:$A$254,D$3))</f>
        <v/>
      </c>
      <c r="E16" s="14">
        <f>IF(SUMIFS(Выработка!$F$5:$F$254,Выработка!$C$5:$C$254,$A16,Выработка!$A$5:$A$254,E$3)=0,"",SUMIFS(Выработка!$F$5:$F$254,Выработка!$C$5:$C$254,$A16,Выработка!$A$5:$A$254,E$3))</f>
        <v/>
      </c>
      <c r="F16" s="14">
        <f>IF(SUMIFS(Выработка!$F$5:$F$254,Выработка!$C$5:$C$254,$A16,Выработка!$A$5:$A$254,F$3)=0,"",SUMIFS(Выработка!$F$5:$F$254,Выработка!$C$5:$C$254,$A16,Выработка!$A$5:$A$254,F$3))</f>
        <v/>
      </c>
      <c r="G16" s="14">
        <f>IF(SUMIFS(Выработка!$F$5:$F$254,Выработка!$C$5:$C$254,$A16,Выработка!$A$5:$A$254,G$3)=0,"",SUMIFS(Выработка!$F$5:$F$254,Выработка!$C$5:$C$254,$A16,Выработка!$A$5:$A$254,G$3))</f>
        <v/>
      </c>
      <c r="H16" s="14">
        <f>IF(SUMIFS(Выработка!$F$5:$F$254,Выработка!$C$5:$C$254,$A16,Выработка!$A$5:$A$254,H$3)=0,"",SUMIFS(Выработка!$F$5:$F$254,Выработка!$C$5:$C$254,$A16,Выработка!$A$5:$A$254,H$3))</f>
        <v/>
      </c>
      <c r="I16" s="14">
        <f>IF(SUMIFS(Выработка!$F$5:$F$254,Выработка!$C$5:$C$254,$A16,Выработка!$A$5:$A$254,I$3)=0,"",SUMIFS(Выработка!$F$5:$F$254,Выработка!$C$5:$C$254,$A16,Выработка!$A$5:$A$254,I$3))</f>
        <v/>
      </c>
      <c r="J16" s="14">
        <f>IF(SUMIFS(Выработка!$F$5:$F$254,Выработка!$C$5:$C$254,$A16,Выработка!$A$5:$A$254,J$3)=0,"",SUMIFS(Выработка!$F$5:$F$254,Выработка!$C$5:$C$254,$A16,Выработка!$A$5:$A$254,J$3))</f>
        <v/>
      </c>
      <c r="K16" s="14">
        <f>IF(SUMIFS(Выработка!$F$5:$F$254,Выработка!$C$5:$C$254,$A16,Выработка!$A$5:$A$254,K$3)=0,"",SUMIFS(Выработка!$F$5:$F$254,Выработка!$C$5:$C$254,$A16,Выработка!$A$5:$A$254,K$3))</f>
        <v/>
      </c>
      <c r="L16" s="14">
        <f>IF(SUMIFS(Выработка!$F$5:$F$254,Выработка!$C$5:$C$254,$A16,Выработка!$A$5:$A$254,L$3)=0,"",SUMIFS(Выработка!$F$5:$F$254,Выработка!$C$5:$C$254,$A16,Выработка!$A$5:$A$254,L$3))</f>
        <v/>
      </c>
      <c r="M16" s="14">
        <f>IF(SUMIFS(Выработка!$F$5:$F$254,Выработка!$C$5:$C$254,$A16,Выработка!$A$5:$A$254,M$3)=0,"",SUMIFS(Выработка!$F$5:$F$254,Выработка!$C$5:$C$254,$A16,Выработка!$A$5:$A$254,M$3))</f>
        <v/>
      </c>
      <c r="N16" s="14">
        <f>IF(SUMIFS(Выработка!$F$5:$F$254,Выработка!$C$5:$C$254,$A16,Выработка!$A$5:$A$254,N$3)=0,"",SUMIFS(Выработка!$F$5:$F$254,Выработка!$C$5:$C$254,$A16,Выработка!$A$5:$A$254,N$3))</f>
        <v/>
      </c>
      <c r="O16" s="14">
        <f>IF(SUMIFS(Выработка!$F$5:$F$254,Выработка!$C$5:$C$254,$A16,Выработка!$A$5:$A$254,O$3)=0,"",SUMIFS(Выработка!$F$5:$F$254,Выработка!$C$5:$C$254,$A16,Выработка!$A$5:$A$254,O$3))</f>
        <v/>
      </c>
      <c r="P16" s="14">
        <f>IF(SUMIFS(Выработка!$F$5:$F$254,Выработка!$C$5:$C$254,$A16,Выработка!$A$5:$A$254,P$3)=0,"",SUMIFS(Выработка!$F$5:$F$254,Выработка!$C$5:$C$254,$A16,Выработка!$A$5:$A$254,P$3))</f>
        <v/>
      </c>
      <c r="Q16" s="14">
        <f>IF(SUMIFS(Выработка!$F$5:$F$254,Выработка!$C$5:$C$254,$A16,Выработка!$A$5:$A$254,Q$3)=0,"",SUMIFS(Выработка!$F$5:$F$254,Выработка!$C$5:$C$254,$A16,Выработка!$A$5:$A$254,Q$3))</f>
        <v/>
      </c>
      <c r="R16" s="14">
        <f>IF(SUMIFS(Выработка!$F$5:$F$254,Выработка!$C$5:$C$254,$A16,Выработка!$A$5:$A$254,R$3)=0,"",SUMIFS(Выработка!$F$5:$F$254,Выработка!$C$5:$C$254,$A16,Выработка!$A$5:$A$254,R$3))</f>
        <v/>
      </c>
      <c r="S16" s="14">
        <f>IF(SUMIFS(Выработка!$F$5:$F$254,Выработка!$C$5:$C$254,$A16,Выработка!$A$5:$A$254,S$3)=0,"",SUMIFS(Выработка!$F$5:$F$254,Выработка!$C$5:$C$254,$A16,Выработка!$A$5:$A$254,S$3))</f>
        <v/>
      </c>
      <c r="T16" s="14">
        <f>IF(SUMIFS(Выработка!$F$5:$F$254,Выработка!$C$5:$C$254,$A16,Выработка!$A$5:$A$254,T$3)=0,"",SUMIFS(Выработка!$F$5:$F$254,Выработка!$C$5:$C$254,$A16,Выработка!$A$5:$A$254,T$3))</f>
        <v/>
      </c>
      <c r="U16" s="14">
        <f>IF(SUMIFS(Выработка!$F$5:$F$254,Выработка!$C$5:$C$254,$A16,Выработка!$A$5:$A$254,U$3)=0,"",SUMIFS(Выработка!$F$5:$F$254,Выработка!$C$5:$C$254,$A16,Выработка!$A$5:$A$254,U$3))</f>
        <v/>
      </c>
      <c r="V16" s="14">
        <f>IF(SUMIFS(Выработка!$F$5:$F$254,Выработка!$C$5:$C$254,$A16,Выработка!$A$5:$A$254,V$3)=0,"",SUMIFS(Выработка!$F$5:$F$254,Выработка!$C$5:$C$254,$A16,Выработка!$A$5:$A$254,V$3))</f>
        <v/>
      </c>
      <c r="W16" s="14">
        <f>IF(SUMIFS(Выработка!$F$5:$F$254,Выработка!$C$5:$C$254,$A16,Выработка!$A$5:$A$254,W$3)=0,"",SUMIFS(Выработка!$F$5:$F$254,Выработка!$C$5:$C$254,$A16,Выработка!$A$5:$A$254,W$3))</f>
        <v/>
      </c>
      <c r="X16" s="14">
        <f>IF(SUMIFS(Выработка!$F$5:$F$254,Выработка!$C$5:$C$254,$A16,Выработка!$A$5:$A$254,X$3)=0,"",SUMIFS(Выработка!$F$5:$F$254,Выработка!$C$5:$C$254,$A16,Выработка!$A$5:$A$254,X$3))</f>
        <v/>
      </c>
      <c r="Y16" s="14">
        <f>IF(SUMIFS(Выработка!$F$5:$F$254,Выработка!$C$5:$C$254,$A16,Выработка!$A$5:$A$254,Y$3)=0,"",SUMIFS(Выработка!$F$5:$F$254,Выработка!$C$5:$C$254,$A16,Выработка!$A$5:$A$254,Y$3))</f>
        <v/>
      </c>
      <c r="Z16" s="14">
        <f>IF(SUMIFS(Выработка!$F$5:$F$254,Выработка!$C$5:$C$254,$A16,Выработка!$A$5:$A$254,Z$3)=0,"",SUMIFS(Выработка!$F$5:$F$254,Выработка!$C$5:$C$254,$A16,Выработка!$A$5:$A$254,Z$3))</f>
        <v/>
      </c>
      <c r="AA16" s="14">
        <f>IF(SUMIFS(Выработка!$F$5:$F$254,Выработка!$C$5:$C$254,$A16,Выработка!$A$5:$A$254,AA$3)=0,"",SUMIFS(Выработка!$F$5:$F$254,Выработка!$C$5:$C$254,$A16,Выработка!$A$5:$A$254,AA$3))</f>
        <v/>
      </c>
      <c r="AB16" s="14">
        <f>IF(SUMIFS(Выработка!$F$5:$F$254,Выработка!$C$5:$C$254,$A16,Выработка!$A$5:$A$254,AB$3)=0,"",SUMIFS(Выработка!$F$5:$F$254,Выработка!$C$5:$C$254,$A16,Выработка!$A$5:$A$254,AB$3))</f>
        <v/>
      </c>
      <c r="AC16" s="14">
        <f>IF(SUMIFS(Выработка!$F$5:$F$254,Выработка!$C$5:$C$254,$A16,Выработка!$A$5:$A$254,AC$3)=0,"",SUMIFS(Выработка!$F$5:$F$254,Выработка!$C$5:$C$254,$A16,Выработка!$A$5:$A$254,AC$3))</f>
        <v/>
      </c>
      <c r="AD16" s="14">
        <f>IF(SUMIFS(Выработка!$F$5:$F$254,Выработка!$C$5:$C$254,$A16,Выработка!$A$5:$A$254,AD$3)=0,"",SUMIFS(Выработка!$F$5:$F$254,Выработка!$C$5:$C$254,$A16,Выработка!$A$5:$A$254,AD$3))</f>
        <v/>
      </c>
      <c r="AE16" s="14">
        <f>IF(SUMIFS(Выработка!$F$5:$F$254,Выработка!$C$5:$C$254,$A16,Выработка!$A$5:$A$254,AE$3)=0,"",SUMIFS(Выработка!$F$5:$F$254,Выработка!$C$5:$C$254,$A16,Выработка!$A$5:$A$254,AE$3))</f>
        <v/>
      </c>
      <c r="AF16" s="14">
        <f>IF(SUMIFS(Выработка!$F$5:$F$254,Выработка!$C$5:$C$254,$A16,Выработка!$A$5:$A$254,AF$3)=0,"",SUMIFS(Выработка!$F$5:$F$254,Выработка!$C$5:$C$254,$A16,Выработка!$A$5:$A$254,AF$3))</f>
        <v/>
      </c>
      <c r="AG16" s="14">
        <f>SUM(C16:AF16)</f>
        <v/>
      </c>
    </row>
    <row r="17">
      <c r="A17" s="13" t="inlineStr">
        <is>
          <t>Культивация№3</t>
        </is>
      </c>
      <c r="B17" s="14">
        <f>SUMIF(Выработка!$C$5:$C$254,$A17,Выработка!$F$5:$F$254)</f>
        <v/>
      </c>
      <c r="C17" s="14">
        <f>IF(SUMIFS(Выработка!$F$5:$F$254,Выработка!$C$5:$C$254,$A17,Выработка!$A$5:$A$254,C$3)=0,"",SUMIFS(Выработка!$F$5:$F$254,Выработка!$C$5:$C$254,$A17,Выработка!$A$5:$A$254,C$3))</f>
        <v/>
      </c>
      <c r="D17" s="14">
        <f>IF(SUMIFS(Выработка!$F$5:$F$254,Выработка!$C$5:$C$254,$A17,Выработка!$A$5:$A$254,D$3)=0,"",SUMIFS(Выработка!$F$5:$F$254,Выработка!$C$5:$C$254,$A17,Выработка!$A$5:$A$254,D$3))</f>
        <v/>
      </c>
      <c r="E17" s="14">
        <f>IF(SUMIFS(Выработка!$F$5:$F$254,Выработка!$C$5:$C$254,$A17,Выработка!$A$5:$A$254,E$3)=0,"",SUMIFS(Выработка!$F$5:$F$254,Выработка!$C$5:$C$254,$A17,Выработка!$A$5:$A$254,E$3))</f>
        <v/>
      </c>
      <c r="F17" s="14">
        <f>IF(SUMIFS(Выработка!$F$5:$F$254,Выработка!$C$5:$C$254,$A17,Выработка!$A$5:$A$254,F$3)=0,"",SUMIFS(Выработка!$F$5:$F$254,Выработка!$C$5:$C$254,$A17,Выработка!$A$5:$A$254,F$3))</f>
        <v/>
      </c>
      <c r="G17" s="14">
        <f>IF(SUMIFS(Выработка!$F$5:$F$254,Выработка!$C$5:$C$254,$A17,Выработка!$A$5:$A$254,G$3)=0,"",SUMIFS(Выработка!$F$5:$F$254,Выработка!$C$5:$C$254,$A17,Выработка!$A$5:$A$254,G$3))</f>
        <v/>
      </c>
      <c r="H17" s="14">
        <f>IF(SUMIFS(Выработка!$F$5:$F$254,Выработка!$C$5:$C$254,$A17,Выработка!$A$5:$A$254,H$3)=0,"",SUMIFS(Выработка!$F$5:$F$254,Выработка!$C$5:$C$254,$A17,Выработка!$A$5:$A$254,H$3))</f>
        <v/>
      </c>
      <c r="I17" s="14">
        <f>IF(SUMIFS(Выработка!$F$5:$F$254,Выработка!$C$5:$C$254,$A17,Выработка!$A$5:$A$254,I$3)=0,"",SUMIFS(Выработка!$F$5:$F$254,Выработка!$C$5:$C$254,$A17,Выработка!$A$5:$A$254,I$3))</f>
        <v/>
      </c>
      <c r="J17" s="14">
        <f>IF(SUMIFS(Выработка!$F$5:$F$254,Выработка!$C$5:$C$254,$A17,Выработка!$A$5:$A$254,J$3)=0,"",SUMIFS(Выработка!$F$5:$F$254,Выработка!$C$5:$C$254,$A17,Выработка!$A$5:$A$254,J$3))</f>
        <v/>
      </c>
      <c r="K17" s="14">
        <f>IF(SUMIFS(Выработка!$F$5:$F$254,Выработка!$C$5:$C$254,$A17,Выработка!$A$5:$A$254,K$3)=0,"",SUMIFS(Выработка!$F$5:$F$254,Выработка!$C$5:$C$254,$A17,Выработка!$A$5:$A$254,K$3))</f>
        <v/>
      </c>
      <c r="L17" s="14">
        <f>IF(SUMIFS(Выработка!$F$5:$F$254,Выработка!$C$5:$C$254,$A17,Выработка!$A$5:$A$254,L$3)=0,"",SUMIFS(Выработка!$F$5:$F$254,Выработка!$C$5:$C$254,$A17,Выработка!$A$5:$A$254,L$3))</f>
        <v/>
      </c>
      <c r="M17" s="14">
        <f>IF(SUMIFS(Выработка!$F$5:$F$254,Выработка!$C$5:$C$254,$A17,Выработка!$A$5:$A$254,M$3)=0,"",SUMIFS(Выработка!$F$5:$F$254,Выработка!$C$5:$C$254,$A17,Выработка!$A$5:$A$254,M$3))</f>
        <v/>
      </c>
      <c r="N17" s="14">
        <f>IF(SUMIFS(Выработка!$F$5:$F$254,Выработка!$C$5:$C$254,$A17,Выработка!$A$5:$A$254,N$3)=0,"",SUMIFS(Выработка!$F$5:$F$254,Выработка!$C$5:$C$254,$A17,Выработка!$A$5:$A$254,N$3))</f>
        <v/>
      </c>
      <c r="O17" s="14">
        <f>IF(SUMIFS(Выработка!$F$5:$F$254,Выработка!$C$5:$C$254,$A17,Выработка!$A$5:$A$254,O$3)=0,"",SUMIFS(Выработка!$F$5:$F$254,Выработка!$C$5:$C$254,$A17,Выработка!$A$5:$A$254,O$3))</f>
        <v/>
      </c>
      <c r="P17" s="14">
        <f>IF(SUMIFS(Выработка!$F$5:$F$254,Выработка!$C$5:$C$254,$A17,Выработка!$A$5:$A$254,P$3)=0,"",SUMIFS(Выработка!$F$5:$F$254,Выработка!$C$5:$C$254,$A17,Выработка!$A$5:$A$254,P$3))</f>
        <v/>
      </c>
      <c r="Q17" s="14">
        <f>IF(SUMIFS(Выработка!$F$5:$F$254,Выработка!$C$5:$C$254,$A17,Выработка!$A$5:$A$254,Q$3)=0,"",SUMIFS(Выработка!$F$5:$F$254,Выработка!$C$5:$C$254,$A17,Выработка!$A$5:$A$254,Q$3))</f>
        <v/>
      </c>
      <c r="R17" s="14">
        <f>IF(SUMIFS(Выработка!$F$5:$F$254,Выработка!$C$5:$C$254,$A17,Выработка!$A$5:$A$254,R$3)=0,"",SUMIFS(Выработка!$F$5:$F$254,Выработка!$C$5:$C$254,$A17,Выработка!$A$5:$A$254,R$3))</f>
        <v/>
      </c>
      <c r="S17" s="14">
        <f>IF(SUMIFS(Выработка!$F$5:$F$254,Выработка!$C$5:$C$254,$A17,Выработка!$A$5:$A$254,S$3)=0,"",SUMIFS(Выработка!$F$5:$F$254,Выработка!$C$5:$C$254,$A17,Выработка!$A$5:$A$254,S$3))</f>
        <v/>
      </c>
      <c r="T17" s="14">
        <f>IF(SUMIFS(Выработка!$F$5:$F$254,Выработка!$C$5:$C$254,$A17,Выработка!$A$5:$A$254,T$3)=0,"",SUMIFS(Выработка!$F$5:$F$254,Выработка!$C$5:$C$254,$A17,Выработка!$A$5:$A$254,T$3))</f>
        <v/>
      </c>
      <c r="U17" s="14">
        <f>IF(SUMIFS(Выработка!$F$5:$F$254,Выработка!$C$5:$C$254,$A17,Выработка!$A$5:$A$254,U$3)=0,"",SUMIFS(Выработка!$F$5:$F$254,Выработка!$C$5:$C$254,$A17,Выработка!$A$5:$A$254,U$3))</f>
        <v/>
      </c>
      <c r="V17" s="14">
        <f>IF(SUMIFS(Выработка!$F$5:$F$254,Выработка!$C$5:$C$254,$A17,Выработка!$A$5:$A$254,V$3)=0,"",SUMIFS(Выработка!$F$5:$F$254,Выработка!$C$5:$C$254,$A17,Выработка!$A$5:$A$254,V$3))</f>
        <v/>
      </c>
      <c r="W17" s="14">
        <f>IF(SUMIFS(Выработка!$F$5:$F$254,Выработка!$C$5:$C$254,$A17,Выработка!$A$5:$A$254,W$3)=0,"",SUMIFS(Выработка!$F$5:$F$254,Выработка!$C$5:$C$254,$A17,Выработка!$A$5:$A$254,W$3))</f>
        <v/>
      </c>
      <c r="X17" s="14">
        <f>IF(SUMIFS(Выработка!$F$5:$F$254,Выработка!$C$5:$C$254,$A17,Выработка!$A$5:$A$254,X$3)=0,"",SUMIFS(Выработка!$F$5:$F$254,Выработка!$C$5:$C$254,$A17,Выработка!$A$5:$A$254,X$3))</f>
        <v/>
      </c>
      <c r="Y17" s="14">
        <f>IF(SUMIFS(Выработка!$F$5:$F$254,Выработка!$C$5:$C$254,$A17,Выработка!$A$5:$A$254,Y$3)=0,"",SUMIFS(Выработка!$F$5:$F$254,Выработка!$C$5:$C$254,$A17,Выработка!$A$5:$A$254,Y$3))</f>
        <v/>
      </c>
      <c r="Z17" s="14">
        <f>IF(SUMIFS(Выработка!$F$5:$F$254,Выработка!$C$5:$C$254,$A17,Выработка!$A$5:$A$254,Z$3)=0,"",SUMIFS(Выработка!$F$5:$F$254,Выработка!$C$5:$C$254,$A17,Выработка!$A$5:$A$254,Z$3))</f>
        <v/>
      </c>
      <c r="AA17" s="14">
        <f>IF(SUMIFS(Выработка!$F$5:$F$254,Выработка!$C$5:$C$254,$A17,Выработка!$A$5:$A$254,AA$3)=0,"",SUMIFS(Выработка!$F$5:$F$254,Выработка!$C$5:$C$254,$A17,Выработка!$A$5:$A$254,AA$3))</f>
        <v/>
      </c>
      <c r="AB17" s="14">
        <f>IF(SUMIFS(Выработка!$F$5:$F$254,Выработка!$C$5:$C$254,$A17,Выработка!$A$5:$A$254,AB$3)=0,"",SUMIFS(Выработка!$F$5:$F$254,Выработка!$C$5:$C$254,$A17,Выработка!$A$5:$A$254,AB$3))</f>
        <v/>
      </c>
      <c r="AC17" s="14">
        <f>IF(SUMIFS(Выработка!$F$5:$F$254,Выработка!$C$5:$C$254,$A17,Выработка!$A$5:$A$254,AC$3)=0,"",SUMIFS(Выработка!$F$5:$F$254,Выработка!$C$5:$C$254,$A17,Выработка!$A$5:$A$254,AC$3))</f>
        <v/>
      </c>
      <c r="AD17" s="14">
        <f>IF(SUMIFS(Выработка!$F$5:$F$254,Выработка!$C$5:$C$254,$A17,Выработка!$A$5:$A$254,AD$3)=0,"",SUMIFS(Выработка!$F$5:$F$254,Выработка!$C$5:$C$254,$A17,Выработка!$A$5:$A$254,AD$3))</f>
        <v/>
      </c>
      <c r="AE17" s="14">
        <f>IF(SUMIFS(Выработка!$F$5:$F$254,Выработка!$C$5:$C$254,$A17,Выработка!$A$5:$A$254,AE$3)=0,"",SUMIFS(Выработка!$F$5:$F$254,Выработка!$C$5:$C$254,$A17,Выработка!$A$5:$A$254,AE$3))</f>
        <v/>
      </c>
      <c r="AF17" s="14">
        <f>IF(SUMIFS(Выработка!$F$5:$F$254,Выработка!$C$5:$C$254,$A17,Выработка!$A$5:$A$254,AF$3)=0,"",SUMIFS(Выработка!$F$5:$F$254,Выработка!$C$5:$C$254,$A17,Выработка!$A$5:$A$254,AF$3))</f>
        <v/>
      </c>
      <c r="AG17" s="14">
        <f>SUM(C17:AF17)</f>
        <v/>
      </c>
    </row>
    <row r="18">
      <c r="A18" s="13" t="inlineStr">
        <is>
          <t>Глубокое рыхление 40-45</t>
        </is>
      </c>
      <c r="B18" s="14">
        <f>SUMIF(Выработка!$C$5:$C$254,$A18,Выработка!$F$5:$F$254)</f>
        <v/>
      </c>
      <c r="C18" s="14">
        <f>IF(SUMIFS(Выработка!$F$5:$F$254,Выработка!$C$5:$C$254,$A18,Выработка!$A$5:$A$254,C$3)=0,"",SUMIFS(Выработка!$F$5:$F$254,Выработка!$C$5:$C$254,$A18,Выработка!$A$5:$A$254,C$3))</f>
        <v/>
      </c>
      <c r="D18" s="14">
        <f>IF(SUMIFS(Выработка!$F$5:$F$254,Выработка!$C$5:$C$254,$A18,Выработка!$A$5:$A$254,D$3)=0,"",SUMIFS(Выработка!$F$5:$F$254,Выработка!$C$5:$C$254,$A18,Выработка!$A$5:$A$254,D$3))</f>
        <v/>
      </c>
      <c r="E18" s="14">
        <f>IF(SUMIFS(Выработка!$F$5:$F$254,Выработка!$C$5:$C$254,$A18,Выработка!$A$5:$A$254,E$3)=0,"",SUMIFS(Выработка!$F$5:$F$254,Выработка!$C$5:$C$254,$A18,Выработка!$A$5:$A$254,E$3))</f>
        <v/>
      </c>
      <c r="F18" s="14">
        <f>IF(SUMIFS(Выработка!$F$5:$F$254,Выработка!$C$5:$C$254,$A18,Выработка!$A$5:$A$254,F$3)=0,"",SUMIFS(Выработка!$F$5:$F$254,Выработка!$C$5:$C$254,$A18,Выработка!$A$5:$A$254,F$3))</f>
        <v/>
      </c>
      <c r="G18" s="14">
        <f>IF(SUMIFS(Выработка!$F$5:$F$254,Выработка!$C$5:$C$254,$A18,Выработка!$A$5:$A$254,G$3)=0,"",SUMIFS(Выработка!$F$5:$F$254,Выработка!$C$5:$C$254,$A18,Выработка!$A$5:$A$254,G$3))</f>
        <v/>
      </c>
      <c r="H18" s="14">
        <f>IF(SUMIFS(Выработка!$F$5:$F$254,Выработка!$C$5:$C$254,$A18,Выработка!$A$5:$A$254,H$3)=0,"",SUMIFS(Выработка!$F$5:$F$254,Выработка!$C$5:$C$254,$A18,Выработка!$A$5:$A$254,H$3))</f>
        <v/>
      </c>
      <c r="I18" s="14">
        <f>IF(SUMIFS(Выработка!$F$5:$F$254,Выработка!$C$5:$C$254,$A18,Выработка!$A$5:$A$254,I$3)=0,"",SUMIFS(Выработка!$F$5:$F$254,Выработка!$C$5:$C$254,$A18,Выработка!$A$5:$A$254,I$3))</f>
        <v/>
      </c>
      <c r="J18" s="14">
        <f>IF(SUMIFS(Выработка!$F$5:$F$254,Выработка!$C$5:$C$254,$A18,Выработка!$A$5:$A$254,J$3)=0,"",SUMIFS(Выработка!$F$5:$F$254,Выработка!$C$5:$C$254,$A18,Выработка!$A$5:$A$254,J$3))</f>
        <v/>
      </c>
      <c r="K18" s="14">
        <f>IF(SUMIFS(Выработка!$F$5:$F$254,Выработка!$C$5:$C$254,$A18,Выработка!$A$5:$A$254,K$3)=0,"",SUMIFS(Выработка!$F$5:$F$254,Выработка!$C$5:$C$254,$A18,Выработка!$A$5:$A$254,K$3))</f>
        <v/>
      </c>
      <c r="L18" s="14">
        <f>IF(SUMIFS(Выработка!$F$5:$F$254,Выработка!$C$5:$C$254,$A18,Выработка!$A$5:$A$254,L$3)=0,"",SUMIFS(Выработка!$F$5:$F$254,Выработка!$C$5:$C$254,$A18,Выработка!$A$5:$A$254,L$3))</f>
        <v/>
      </c>
      <c r="M18" s="14">
        <f>IF(SUMIFS(Выработка!$F$5:$F$254,Выработка!$C$5:$C$254,$A18,Выработка!$A$5:$A$254,M$3)=0,"",SUMIFS(Выработка!$F$5:$F$254,Выработка!$C$5:$C$254,$A18,Выработка!$A$5:$A$254,M$3))</f>
        <v/>
      </c>
      <c r="N18" s="14">
        <f>IF(SUMIFS(Выработка!$F$5:$F$254,Выработка!$C$5:$C$254,$A18,Выработка!$A$5:$A$254,N$3)=0,"",SUMIFS(Выработка!$F$5:$F$254,Выработка!$C$5:$C$254,$A18,Выработка!$A$5:$A$254,N$3))</f>
        <v/>
      </c>
      <c r="O18" s="14">
        <f>IF(SUMIFS(Выработка!$F$5:$F$254,Выработка!$C$5:$C$254,$A18,Выработка!$A$5:$A$254,O$3)=0,"",SUMIFS(Выработка!$F$5:$F$254,Выработка!$C$5:$C$254,$A18,Выработка!$A$5:$A$254,O$3))</f>
        <v/>
      </c>
      <c r="P18" s="14">
        <f>IF(SUMIFS(Выработка!$F$5:$F$254,Выработка!$C$5:$C$254,$A18,Выработка!$A$5:$A$254,P$3)=0,"",SUMIFS(Выработка!$F$5:$F$254,Выработка!$C$5:$C$254,$A18,Выработка!$A$5:$A$254,P$3))</f>
        <v/>
      </c>
      <c r="Q18" s="14">
        <f>IF(SUMIFS(Выработка!$F$5:$F$254,Выработка!$C$5:$C$254,$A18,Выработка!$A$5:$A$254,Q$3)=0,"",SUMIFS(Выработка!$F$5:$F$254,Выработка!$C$5:$C$254,$A18,Выработка!$A$5:$A$254,Q$3))</f>
        <v/>
      </c>
      <c r="R18" s="14">
        <f>IF(SUMIFS(Выработка!$F$5:$F$254,Выработка!$C$5:$C$254,$A18,Выработка!$A$5:$A$254,R$3)=0,"",SUMIFS(Выработка!$F$5:$F$254,Выработка!$C$5:$C$254,$A18,Выработка!$A$5:$A$254,R$3))</f>
        <v/>
      </c>
      <c r="S18" s="14">
        <f>IF(SUMIFS(Выработка!$F$5:$F$254,Выработка!$C$5:$C$254,$A18,Выработка!$A$5:$A$254,S$3)=0,"",SUMIFS(Выработка!$F$5:$F$254,Выработка!$C$5:$C$254,$A18,Выработка!$A$5:$A$254,S$3))</f>
        <v/>
      </c>
      <c r="T18" s="14">
        <f>IF(SUMIFS(Выработка!$F$5:$F$254,Выработка!$C$5:$C$254,$A18,Выработка!$A$5:$A$254,T$3)=0,"",SUMIFS(Выработка!$F$5:$F$254,Выработка!$C$5:$C$254,$A18,Выработка!$A$5:$A$254,T$3))</f>
        <v/>
      </c>
      <c r="U18" s="14">
        <f>IF(SUMIFS(Выработка!$F$5:$F$254,Выработка!$C$5:$C$254,$A18,Выработка!$A$5:$A$254,U$3)=0,"",SUMIFS(Выработка!$F$5:$F$254,Выработка!$C$5:$C$254,$A18,Выработка!$A$5:$A$254,U$3))</f>
        <v/>
      </c>
      <c r="V18" s="14">
        <f>IF(SUMIFS(Выработка!$F$5:$F$254,Выработка!$C$5:$C$254,$A18,Выработка!$A$5:$A$254,V$3)=0,"",SUMIFS(Выработка!$F$5:$F$254,Выработка!$C$5:$C$254,$A18,Выработка!$A$5:$A$254,V$3))</f>
        <v/>
      </c>
      <c r="W18" s="14">
        <f>IF(SUMIFS(Выработка!$F$5:$F$254,Выработка!$C$5:$C$254,$A18,Выработка!$A$5:$A$254,W$3)=0,"",SUMIFS(Выработка!$F$5:$F$254,Выработка!$C$5:$C$254,$A18,Выработка!$A$5:$A$254,W$3))</f>
        <v/>
      </c>
      <c r="X18" s="14">
        <f>IF(SUMIFS(Выработка!$F$5:$F$254,Выработка!$C$5:$C$254,$A18,Выработка!$A$5:$A$254,X$3)=0,"",SUMIFS(Выработка!$F$5:$F$254,Выработка!$C$5:$C$254,$A18,Выработка!$A$5:$A$254,X$3))</f>
        <v/>
      </c>
      <c r="Y18" s="14">
        <f>IF(SUMIFS(Выработка!$F$5:$F$254,Выработка!$C$5:$C$254,$A18,Выработка!$A$5:$A$254,Y$3)=0,"",SUMIFS(Выработка!$F$5:$F$254,Выработка!$C$5:$C$254,$A18,Выработка!$A$5:$A$254,Y$3))</f>
        <v/>
      </c>
      <c r="Z18" s="14">
        <f>IF(SUMIFS(Выработка!$F$5:$F$254,Выработка!$C$5:$C$254,$A18,Выработка!$A$5:$A$254,Z$3)=0,"",SUMIFS(Выработка!$F$5:$F$254,Выработка!$C$5:$C$254,$A18,Выработка!$A$5:$A$254,Z$3))</f>
        <v/>
      </c>
      <c r="AA18" s="14">
        <f>IF(SUMIFS(Выработка!$F$5:$F$254,Выработка!$C$5:$C$254,$A18,Выработка!$A$5:$A$254,AA$3)=0,"",SUMIFS(Выработка!$F$5:$F$254,Выработка!$C$5:$C$254,$A18,Выработка!$A$5:$A$254,AA$3))</f>
        <v/>
      </c>
      <c r="AB18" s="14">
        <f>IF(SUMIFS(Выработка!$F$5:$F$254,Выработка!$C$5:$C$254,$A18,Выработка!$A$5:$A$254,AB$3)=0,"",SUMIFS(Выработка!$F$5:$F$254,Выработка!$C$5:$C$254,$A18,Выработка!$A$5:$A$254,AB$3))</f>
        <v/>
      </c>
      <c r="AC18" s="14">
        <f>IF(SUMIFS(Выработка!$F$5:$F$254,Выработка!$C$5:$C$254,$A18,Выработка!$A$5:$A$254,AC$3)=0,"",SUMIFS(Выработка!$F$5:$F$254,Выработка!$C$5:$C$254,$A18,Выработка!$A$5:$A$254,AC$3))</f>
        <v/>
      </c>
      <c r="AD18" s="14">
        <f>IF(SUMIFS(Выработка!$F$5:$F$254,Выработка!$C$5:$C$254,$A18,Выработка!$A$5:$A$254,AD$3)=0,"",SUMIFS(Выработка!$F$5:$F$254,Выработка!$C$5:$C$254,$A18,Выработка!$A$5:$A$254,AD$3))</f>
        <v/>
      </c>
      <c r="AE18" s="14">
        <f>IF(SUMIFS(Выработка!$F$5:$F$254,Выработка!$C$5:$C$254,$A18,Выработка!$A$5:$A$254,AE$3)=0,"",SUMIFS(Выработка!$F$5:$F$254,Выработка!$C$5:$C$254,$A18,Выработка!$A$5:$A$254,AE$3))</f>
        <v/>
      </c>
      <c r="AF18" s="14">
        <f>IF(SUMIFS(Выработка!$F$5:$F$254,Выработка!$C$5:$C$254,$A18,Выработка!$A$5:$A$254,AF$3)=0,"",SUMIFS(Выработка!$F$5:$F$254,Выработка!$C$5:$C$254,$A18,Выработка!$A$5:$A$254,AF$3))</f>
        <v/>
      </c>
      <c r="AG18" s="14">
        <f>SUM(C18:AF18)</f>
        <v/>
      </c>
    </row>
    <row r="19">
      <c r="A19" s="15" t="inlineStr">
        <is>
          <t>ИТОГО ЗА ДЕНЬ</t>
        </is>
      </c>
      <c r="B19" s="16">
        <f>SUM(B5:B18)</f>
        <v/>
      </c>
      <c r="C19" s="16">
        <f>SUM(C5:C18)</f>
        <v/>
      </c>
      <c r="D19" s="16">
        <f>SUM(D5:D18)</f>
        <v/>
      </c>
      <c r="E19" s="16">
        <f>SUM(E5:E18)</f>
        <v/>
      </c>
      <c r="F19" s="16">
        <f>SUM(F5:F18)</f>
        <v/>
      </c>
      <c r="G19" s="16">
        <f>SUM(G5:G18)</f>
        <v/>
      </c>
      <c r="H19" s="16">
        <f>SUM(H5:H18)</f>
        <v/>
      </c>
      <c r="I19" s="16">
        <f>SUM(I5:I18)</f>
        <v/>
      </c>
      <c r="J19" s="16">
        <f>SUM(J5:J18)</f>
        <v/>
      </c>
      <c r="K19" s="16">
        <f>SUM(K5:K18)</f>
        <v/>
      </c>
      <c r="L19" s="16">
        <f>SUM(L5:L18)</f>
        <v/>
      </c>
      <c r="M19" s="16">
        <f>SUM(M5:M18)</f>
        <v/>
      </c>
      <c r="N19" s="16">
        <f>SUM(N5:N18)</f>
        <v/>
      </c>
      <c r="O19" s="16">
        <f>SUM(O5:O18)</f>
        <v/>
      </c>
      <c r="P19" s="16">
        <f>SUM(P5:P18)</f>
        <v/>
      </c>
      <c r="Q19" s="16">
        <f>SUM(Q5:Q18)</f>
        <v/>
      </c>
      <c r="R19" s="16">
        <f>SUM(R5:R18)</f>
        <v/>
      </c>
      <c r="S19" s="16">
        <f>SUM(S5:S18)</f>
        <v/>
      </c>
      <c r="T19" s="16">
        <f>SUM(T5:T18)</f>
        <v/>
      </c>
      <c r="U19" s="16">
        <f>SUM(U5:U18)</f>
        <v/>
      </c>
      <c r="V19" s="16">
        <f>SUM(V5:V18)</f>
        <v/>
      </c>
      <c r="W19" s="16">
        <f>SUM(W5:W18)</f>
        <v/>
      </c>
      <c r="X19" s="16">
        <f>SUM(X5:X18)</f>
        <v/>
      </c>
      <c r="Y19" s="16">
        <f>SUM(Y5:Y18)</f>
        <v/>
      </c>
      <c r="Z19" s="16">
        <f>SUM(Z5:Z18)</f>
        <v/>
      </c>
      <c r="AA19" s="16">
        <f>SUM(AA5:AA18)</f>
        <v/>
      </c>
      <c r="AB19" s="16">
        <f>SUM(AB5:AB18)</f>
        <v/>
      </c>
      <c r="AC19" s="16">
        <f>SUM(AC5:AC18)</f>
        <v/>
      </c>
      <c r="AD19" s="16">
        <f>SUM(AD5:AD18)</f>
        <v/>
      </c>
      <c r="AE19" s="16">
        <f>SUM(AE5:AE18)</f>
        <v/>
      </c>
      <c r="AF19" s="16">
        <f>SUM(AF5:AF18)</f>
        <v/>
      </c>
      <c r="AG19" s="16">
        <f>SUM(AG5:AG18)</f>
        <v/>
      </c>
    </row>
  </sheetData>
  <mergeCells count="2">
    <mergeCell ref="A2:AG2"/>
    <mergeCell ref="A1:A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5" customWidth="1" min="3" max="3"/>
    <col width="13" customWidth="1" min="4" max="4"/>
    <col width="14" customWidth="1" min="5" max="5"/>
    <col width="13" customWidth="1" min="6" max="6"/>
    <col width="14" customWidth="1" min="7" max="7"/>
    <col width="15" customWidth="1" min="8" max="8"/>
    <col width="12" customWidth="1" min="9" max="9"/>
    <col width="26" customWidth="1" min="10" max="10"/>
  </cols>
  <sheetData>
    <row r="1" ht="22" customHeight="1">
      <c r="A1" s="1" t="inlineStr">
        <is>
          <t>СРОКИ ВЫПОЛНЕНИЯ РАБОТ</t>
        </is>
      </c>
    </row>
    <row r="2">
      <c r="A2" s="2" t="inlineStr">
        <is>
          <t>На 24.05.2026 · положительный сдвиг = вышли в поле позже агротехнического срока</t>
        </is>
      </c>
    </row>
    <row r="4" ht="30" customHeight="1">
      <c r="A4" s="3" t="inlineStr">
        <is>
          <t>Вид работ</t>
        </is>
      </c>
      <c r="B4" s="3" t="inlineStr">
        <is>
          <t>Культура</t>
        </is>
      </c>
      <c r="C4" s="3" t="inlineStr">
        <is>
          <t>Предприятие</t>
        </is>
      </c>
      <c r="D4" s="3" t="inlineStr">
        <is>
          <t>Начало ПЛАН</t>
        </is>
      </c>
      <c r="E4" s="3" t="inlineStr">
        <is>
          <t>Окончание ПЛАН</t>
        </is>
      </c>
      <c r="F4" s="3" t="inlineStr">
        <is>
          <t>Начало ФАКТ</t>
        </is>
      </c>
      <c r="G4" s="3" t="inlineStr">
        <is>
          <t>Окончание ФАКТ</t>
        </is>
      </c>
      <c r="H4" s="3" t="inlineStr">
        <is>
          <t>Сдвиг старта, дн.</t>
        </is>
      </c>
      <c r="I4" s="3" t="inlineStr">
        <is>
          <t>Выполнение</t>
        </is>
      </c>
      <c r="J4" s="3" t="inlineStr">
        <is>
          <t>Комментарий</t>
        </is>
      </c>
    </row>
    <row r="5">
      <c r="A5" s="13" t="inlineStr">
        <is>
          <t>Хим обработка</t>
        </is>
      </c>
      <c r="B5" s="13" t="inlineStr">
        <is>
          <t>Пшеница озимая</t>
        </is>
      </c>
      <c r="C5" s="13" t="inlineStr">
        <is>
          <t>ГРК</t>
        </is>
      </c>
      <c r="D5" s="13" t="n"/>
      <c r="E5" s="13" t="n"/>
      <c r="F5" s="17" t="n">
        <v>46113</v>
      </c>
      <c r="G5" s="17" t="n">
        <v>46135</v>
      </c>
      <c r="H5" s="18">
        <f>IF(AND(D5&lt;&gt;"",F5&lt;&gt;""),F5-D5,"")</f>
        <v/>
      </c>
      <c r="I5" s="19">
        <f>Данные!I5</f>
        <v/>
      </c>
      <c r="J5" s="13">
        <f>IF(I5&gt;=0.995,"закрыто",IF(AND(E5&lt;&gt;"",E5&lt;TODAY()),"агросрок истёк, не закрыто",IF(F5="","не начинали","в работе")))</f>
        <v/>
      </c>
    </row>
    <row r="6">
      <c r="A6" s="13" t="inlineStr">
        <is>
          <t>Хим обработка</t>
        </is>
      </c>
      <c r="B6" s="13" t="inlineStr">
        <is>
          <t>Пшеница озимая</t>
        </is>
      </c>
      <c r="C6" s="13" t="inlineStr">
        <is>
          <t>ГРК</t>
        </is>
      </c>
      <c r="D6" s="13" t="n"/>
      <c r="E6" s="13" t="n"/>
      <c r="F6" s="17" t="n">
        <v>46137</v>
      </c>
      <c r="G6" s="17" t="n">
        <v>46152</v>
      </c>
      <c r="H6" s="18">
        <f>IF(AND(D6&lt;&gt;"",F6&lt;&gt;""),F6-D6,"")</f>
        <v/>
      </c>
      <c r="I6" s="19">
        <f>Данные!I6</f>
        <v/>
      </c>
      <c r="J6" s="13">
        <f>IF(I6&gt;=0.995,"закрыто",IF(AND(E6&lt;&gt;"",E6&lt;TODAY()),"агросрок истёк, не закрыто",IF(F6="","не начинали","в работе")))</f>
        <v/>
      </c>
    </row>
    <row r="7">
      <c r="A7" s="13" t="inlineStr">
        <is>
          <t>Хим обработка</t>
        </is>
      </c>
      <c r="B7" s="13" t="inlineStr">
        <is>
          <t>Пшеница озимая</t>
        </is>
      </c>
      <c r="C7" s="13" t="inlineStr">
        <is>
          <t>ГРК</t>
        </is>
      </c>
      <c r="D7" s="13" t="n"/>
      <c r="E7" s="13" t="n"/>
      <c r="F7" s="17" t="n">
        <v>46128</v>
      </c>
      <c r="G7" s="17" t="n">
        <v>46129</v>
      </c>
      <c r="H7" s="18">
        <f>IF(AND(D7&lt;&gt;"",F7&lt;&gt;""),F7-D7,"")</f>
        <v/>
      </c>
      <c r="I7" s="19">
        <f>Данные!I7</f>
        <v/>
      </c>
      <c r="J7" s="13">
        <f>IF(I7&gt;=0.995,"закрыто",IF(AND(E7&lt;&gt;"",E7&lt;TODAY()),"агросрок истёк, не закрыто",IF(F7="","не начинали","в работе")))</f>
        <v/>
      </c>
    </row>
    <row r="8">
      <c r="A8" s="13" t="inlineStr">
        <is>
          <t>Хим обработка</t>
        </is>
      </c>
      <c r="B8" s="13" t="inlineStr">
        <is>
          <t>Подсонечниик</t>
        </is>
      </c>
      <c r="C8" s="13" t="inlineStr">
        <is>
          <t>ГРК</t>
        </is>
      </c>
      <c r="D8" s="13" t="n"/>
      <c r="E8" s="13" t="n"/>
      <c r="F8" s="17" t="n">
        <v>46117</v>
      </c>
      <c r="G8" s="17" t="n">
        <v>46130</v>
      </c>
      <c r="H8" s="18">
        <f>IF(AND(D8&lt;&gt;"",F8&lt;&gt;""),F8-D8,"")</f>
        <v/>
      </c>
      <c r="I8" s="19">
        <f>Данные!I8</f>
        <v/>
      </c>
      <c r="J8" s="13">
        <f>IF(I8&gt;=0.995,"закрыто",IF(AND(E8&lt;&gt;"",E8&lt;TODAY()),"агросрок истёк, не закрыто",IF(F8="","не начинали","в работе")))</f>
        <v/>
      </c>
    </row>
    <row r="9">
      <c r="A9" s="13" t="inlineStr">
        <is>
          <t>Хим обработка</t>
        </is>
      </c>
      <c r="B9" s="13" t="inlineStr">
        <is>
          <t>Рапс озимый</t>
        </is>
      </c>
      <c r="C9" s="13" t="inlineStr">
        <is>
          <t>ГРК</t>
        </is>
      </c>
      <c r="D9" s="13" t="n"/>
      <c r="E9" s="13" t="n"/>
      <c r="F9" s="17" t="n">
        <v>46110</v>
      </c>
      <c r="G9" s="17" t="n">
        <v>46113</v>
      </c>
      <c r="H9" s="18">
        <f>IF(AND(D9&lt;&gt;"",F9&lt;&gt;""),F9-D9,"")</f>
        <v/>
      </c>
      <c r="I9" s="19">
        <f>Данные!I9</f>
        <v/>
      </c>
      <c r="J9" s="13">
        <f>IF(I9&gt;=0.995,"закрыто",IF(AND(E9&lt;&gt;"",E9&lt;TODAY()),"агросрок истёк, не закрыто",IF(F9="","не начинали","в работе")))</f>
        <v/>
      </c>
    </row>
    <row r="10">
      <c r="A10" s="13" t="inlineStr">
        <is>
          <t>Хим обработка</t>
        </is>
      </c>
      <c r="B10" s="13" t="inlineStr">
        <is>
          <t>Горох овощной (богара)</t>
        </is>
      </c>
      <c r="C10" s="13" t="inlineStr">
        <is>
          <t>ГРК</t>
        </is>
      </c>
      <c r="D10" s="13" t="n"/>
      <c r="E10" s="13" t="n"/>
      <c r="F10" s="17" t="n">
        <v>46117</v>
      </c>
      <c r="G10" s="13" t="n"/>
      <c r="H10" s="18">
        <f>IF(AND(D10&lt;&gt;"",F10&lt;&gt;""),F10-D10,"")</f>
        <v/>
      </c>
      <c r="I10" s="19">
        <f>Данные!I10</f>
        <v/>
      </c>
      <c r="J10" s="13">
        <f>IF(I10&gt;=0.995,"закрыто",IF(AND(E10&lt;&gt;"",E10&lt;TODAY()),"агросрок истёк, не закрыто",IF(F10="","не начинали","в работе")))</f>
        <v/>
      </c>
    </row>
    <row r="11">
      <c r="A11" s="13" t="inlineStr">
        <is>
          <t>Хим обработка</t>
        </is>
      </c>
      <c r="B11" s="13" t="inlineStr">
        <is>
          <t>Горох овощной (полив)</t>
        </is>
      </c>
      <c r="C11" s="13" t="inlineStr">
        <is>
          <t>ГРК</t>
        </is>
      </c>
      <c r="D11" s="13" t="n"/>
      <c r="E11" s="13" t="n"/>
      <c r="F11" s="17" t="n">
        <v>46135</v>
      </c>
      <c r="G11" s="13" t="n"/>
      <c r="H11" s="18">
        <f>IF(AND(D11&lt;&gt;"",F11&lt;&gt;""),F11-D11,"")</f>
        <v/>
      </c>
      <c r="I11" s="19">
        <f>Данные!I11</f>
        <v/>
      </c>
      <c r="J11" s="13">
        <f>IF(I11&gt;=0.995,"закрыто",IF(AND(E11&lt;&gt;"",E11&lt;TODAY()),"агросрок истёк, не закрыто",IF(F11="","не начинали","в работе")))</f>
        <v/>
      </c>
    </row>
    <row r="12">
      <c r="A12" s="13" t="inlineStr">
        <is>
          <t>Хим обработка</t>
        </is>
      </c>
      <c r="B12" s="13" t="inlineStr">
        <is>
          <t>Горох овощной (полив)</t>
        </is>
      </c>
      <c r="C12" s="13" t="inlineStr">
        <is>
          <t>ГРК</t>
        </is>
      </c>
      <c r="D12" s="13" t="n"/>
      <c r="E12" s="13" t="n"/>
      <c r="F12" s="17" t="n">
        <v>46149</v>
      </c>
      <c r="G12" s="13" t="n"/>
      <c r="H12" s="18">
        <f>IF(AND(D12&lt;&gt;"",F12&lt;&gt;""),F12-D12,"")</f>
        <v/>
      </c>
      <c r="I12" s="19">
        <f>Данные!I12</f>
        <v/>
      </c>
      <c r="J12" s="13">
        <f>IF(I12&gt;=0.995,"закрыто",IF(AND(E12&lt;&gt;"",E12&lt;TODAY()),"агросрок истёк, не закрыто",IF(F12="","не начинали","в работе")))</f>
        <v/>
      </c>
    </row>
    <row r="13">
      <c r="A13" s="13" t="inlineStr">
        <is>
          <t>Хим обработка</t>
        </is>
      </c>
      <c r="B13" s="13" t="inlineStr">
        <is>
          <t>Подсолнечник товарный</t>
        </is>
      </c>
      <c r="C13" s="13" t="inlineStr">
        <is>
          <t>ГРК</t>
        </is>
      </c>
      <c r="D13" s="13" t="n"/>
      <c r="E13" s="13" t="n"/>
      <c r="F13" s="17" t="n">
        <v>46154</v>
      </c>
      <c r="G13" s="17" t="n">
        <v>46166</v>
      </c>
      <c r="H13" s="18">
        <f>IF(AND(D13&lt;&gt;"",F13&lt;&gt;""),F13-D13,"")</f>
        <v/>
      </c>
      <c r="I13" s="19">
        <f>Данные!I13</f>
        <v/>
      </c>
      <c r="J13" s="13">
        <f>IF(I13&gt;=0.995,"закрыто",IF(AND(E13&lt;&gt;"",E13&lt;TODAY()),"агросрок истёк, не закрыто",IF(F13="","не начинали","в работе")))</f>
        <v/>
      </c>
    </row>
    <row r="14">
      <c r="A14" s="13" t="inlineStr">
        <is>
          <t>Хим обработка</t>
        </is>
      </c>
      <c r="B14" s="13" t="inlineStr">
        <is>
          <t>Кукуруза на зерно</t>
        </is>
      </c>
      <c r="C14" s="13" t="inlineStr">
        <is>
          <t>ГРК</t>
        </is>
      </c>
      <c r="D14" s="13" t="n"/>
      <c r="E14" s="13" t="n"/>
      <c r="F14" s="17" t="n">
        <v>46164</v>
      </c>
      <c r="G14" s="17" t="n">
        <v>46165</v>
      </c>
      <c r="H14" s="18">
        <f>IF(AND(D14&lt;&gt;"",F14&lt;&gt;""),F14-D14,"")</f>
        <v/>
      </c>
      <c r="I14" s="19">
        <f>Данные!I14</f>
        <v/>
      </c>
      <c r="J14" s="13">
        <f>IF(I14&gt;=0.995,"закрыто",IF(AND(E14&lt;&gt;"",E14&lt;TODAY()),"агросрок истёк, не закрыто",IF(F14="","не начинали","в работе")))</f>
        <v/>
      </c>
    </row>
    <row r="15">
      <c r="A15" s="13" t="inlineStr">
        <is>
          <t>Хим обработка</t>
        </is>
      </c>
      <c r="B15" s="13" t="inlineStr">
        <is>
          <t>Горох овощной (богара)</t>
        </is>
      </c>
      <c r="C15" s="13" t="inlineStr">
        <is>
          <t>ГРК</t>
        </is>
      </c>
      <c r="D15" s="13" t="n"/>
      <c r="E15" s="13" t="n"/>
      <c r="F15" s="17" t="n">
        <v>46133</v>
      </c>
      <c r="G15" s="17" t="n">
        <v>46166</v>
      </c>
      <c r="H15" s="18">
        <f>IF(AND(D15&lt;&gt;"",F15&lt;&gt;""),F15-D15,"")</f>
        <v/>
      </c>
      <c r="I15" s="19">
        <f>Данные!I15</f>
        <v/>
      </c>
      <c r="J15" s="13">
        <f>IF(I15&gt;=0.995,"закрыто",IF(AND(E15&lt;&gt;"",E15&lt;TODAY()),"агросрок истёк, не закрыто",IF(F15="","не начинали","в работе")))</f>
        <v/>
      </c>
    </row>
    <row r="16">
      <c r="A16" s="13" t="inlineStr">
        <is>
          <t>Хим обработка</t>
        </is>
      </c>
      <c r="B16" s="13" t="inlineStr">
        <is>
          <t>Горох овощной (полив)</t>
        </is>
      </c>
      <c r="C16" s="13" t="inlineStr">
        <is>
          <t>ГРК</t>
        </is>
      </c>
      <c r="D16" s="13" t="n"/>
      <c r="E16" s="13" t="n"/>
      <c r="F16" s="17" t="n">
        <v>46165</v>
      </c>
      <c r="G16" s="13" t="n"/>
      <c r="H16" s="18">
        <f>IF(AND(D16&lt;&gt;"",F16&lt;&gt;""),F16-D16,"")</f>
        <v/>
      </c>
      <c r="I16" s="19">
        <f>Данные!I16</f>
        <v/>
      </c>
      <c r="J16" s="13">
        <f>IF(I16&gt;=0.995,"закрыто",IF(AND(E16&lt;&gt;"",E16&lt;TODAY()),"агросрок истёк, не закрыто",IF(F16="","не начинали","в работе")))</f>
        <v/>
      </c>
    </row>
    <row r="17">
      <c r="A17" s="13" t="inlineStr">
        <is>
          <t>Хим обработка</t>
        </is>
      </c>
      <c r="B17" s="13" t="inlineStr">
        <is>
          <t>Кукуруза супер.сладкая(полив)</t>
        </is>
      </c>
      <c r="C17" s="13" t="inlineStr">
        <is>
          <t>ГРК</t>
        </is>
      </c>
      <c r="D17" s="13" t="n"/>
      <c r="E17" s="13" t="n"/>
      <c r="F17" s="17" t="n">
        <v>46166</v>
      </c>
      <c r="G17" s="17" t="n">
        <v>46166</v>
      </c>
      <c r="H17" s="18">
        <f>IF(AND(D17&lt;&gt;"",F17&lt;&gt;""),F17-D17,"")</f>
        <v/>
      </c>
      <c r="I17" s="19">
        <f>Данные!I17</f>
        <v/>
      </c>
      <c r="J17" s="13">
        <f>IF(I17&gt;=0.995,"закрыто",IF(AND(E17&lt;&gt;"",E17&lt;TODAY()),"агросрок истёк, не закрыто",IF(F17="","не начинали","в работе")))</f>
        <v/>
      </c>
    </row>
    <row r="18">
      <c r="A18" s="13" t="inlineStr">
        <is>
          <t>Хим обработка №2</t>
        </is>
      </c>
      <c r="B18" s="13" t="inlineStr">
        <is>
          <t>Рапс озимый</t>
        </is>
      </c>
      <c r="C18" s="13" t="inlineStr">
        <is>
          <t>ГРК</t>
        </is>
      </c>
      <c r="D18" s="13" t="n"/>
      <c r="E18" s="13" t="n"/>
      <c r="F18" s="17" t="n">
        <v>46113</v>
      </c>
      <c r="G18" s="17" t="n">
        <v>46114</v>
      </c>
      <c r="H18" s="18">
        <f>IF(AND(D18&lt;&gt;"",F18&lt;&gt;""),F18-D18,"")</f>
        <v/>
      </c>
      <c r="I18" s="19">
        <f>Данные!I18</f>
        <v/>
      </c>
      <c r="J18" s="13">
        <f>IF(I18&gt;=0.995,"закрыто",IF(AND(E18&lt;&gt;"",E18&lt;TODAY()),"агросрок истёк, не закрыто",IF(F18="","не начинали","в работе")))</f>
        <v/>
      </c>
    </row>
    <row r="19">
      <c r="A19" s="13" t="inlineStr">
        <is>
          <t>Хим обработка №2</t>
        </is>
      </c>
      <c r="B19" s="13" t="inlineStr">
        <is>
          <t>Рапс озимый</t>
        </is>
      </c>
      <c r="C19" s="13" t="inlineStr">
        <is>
          <t>ГРК</t>
        </is>
      </c>
      <c r="D19" s="13" t="n"/>
      <c r="E19" s="13" t="n"/>
      <c r="F19" s="17" t="n">
        <v>46129</v>
      </c>
      <c r="G19" s="17" t="n">
        <v>46132</v>
      </c>
      <c r="H19" s="18">
        <f>IF(AND(D19&lt;&gt;"",F19&lt;&gt;""),F19-D19,"")</f>
        <v/>
      </c>
      <c r="I19" s="19">
        <f>Данные!I19</f>
        <v/>
      </c>
      <c r="J19" s="13">
        <f>IF(I19&gt;=0.995,"закрыто",IF(AND(E19&lt;&gt;"",E19&lt;TODAY()),"агросрок истёк, не закрыто",IF(F19="","не начинали","в работе")))</f>
        <v/>
      </c>
    </row>
    <row r="20">
      <c r="A20" s="13" t="inlineStr">
        <is>
          <t>Хим обработка №2</t>
        </is>
      </c>
      <c r="B20" s="13" t="inlineStr">
        <is>
          <t>Пшеница озимая</t>
        </is>
      </c>
      <c r="C20" s="13" t="inlineStr">
        <is>
          <t>ГРК</t>
        </is>
      </c>
      <c r="D20" s="13" t="n"/>
      <c r="E20" s="13" t="n"/>
      <c r="F20" s="17" t="n">
        <v>46137</v>
      </c>
      <c r="G20" s="13" t="n"/>
      <c r="H20" s="18">
        <f>IF(AND(D20&lt;&gt;"",F20&lt;&gt;""),F20-D20,"")</f>
        <v/>
      </c>
      <c r="I20" s="19">
        <f>Данные!I20</f>
        <v/>
      </c>
      <c r="J20" s="13">
        <f>IF(I20&gt;=0.995,"закрыто",IF(AND(E20&lt;&gt;"",E20&lt;TODAY()),"агросрок истёк, не закрыто",IF(F20="","не начинали","в работе")))</f>
        <v/>
      </c>
    </row>
    <row r="21">
      <c r="A21" s="13" t="inlineStr">
        <is>
          <t>Хим обработка №2</t>
        </is>
      </c>
      <c r="B21" s="13" t="inlineStr">
        <is>
          <t>Горох овощной (богара)</t>
        </is>
      </c>
      <c r="C21" s="13" t="inlineStr">
        <is>
          <t>ГРК</t>
        </is>
      </c>
      <c r="D21" s="13" t="n"/>
      <c r="E21" s="13" t="n"/>
      <c r="F21" s="17" t="n">
        <v>46149</v>
      </c>
      <c r="G21" s="13" t="n"/>
      <c r="H21" s="18">
        <f>IF(AND(D21&lt;&gt;"",F21&lt;&gt;""),F21-D21,"")</f>
        <v/>
      </c>
      <c r="I21" s="19">
        <f>Данные!I21</f>
        <v/>
      </c>
      <c r="J21" s="13">
        <f>IF(I21&gt;=0.995,"закрыто",IF(AND(E21&lt;&gt;"",E21&lt;TODAY()),"агросрок истёк, не закрыто",IF(F21="","не начинали","в работе")))</f>
        <v/>
      </c>
    </row>
    <row r="22">
      <c r="A22" s="13" t="inlineStr">
        <is>
          <t>Хим обработка №2</t>
        </is>
      </c>
      <c r="B22" s="13" t="inlineStr">
        <is>
          <t>Горох овощной (богара)</t>
        </is>
      </c>
      <c r="C22" s="13" t="inlineStr">
        <is>
          <t>ГРК</t>
        </is>
      </c>
      <c r="D22" s="13" t="n"/>
      <c r="E22" s="13" t="n"/>
      <c r="F22" s="17" t="n">
        <v>46142</v>
      </c>
      <c r="G22" s="13" t="n"/>
      <c r="H22" s="18">
        <f>IF(AND(D22&lt;&gt;"",F22&lt;&gt;""),F22-D22,"")</f>
        <v/>
      </c>
      <c r="I22" s="19">
        <f>Данные!I22</f>
        <v/>
      </c>
      <c r="J22" s="13">
        <f>IF(I22&gt;=0.995,"закрыто",IF(AND(E22&lt;&gt;"",E22&lt;TODAY()),"агросрок истёк, не закрыто",IF(F22="","не начинали","в работе")))</f>
        <v/>
      </c>
    </row>
    <row r="23">
      <c r="A23" s="13" t="inlineStr">
        <is>
          <t>Хим обработка №2</t>
        </is>
      </c>
      <c r="B23" s="13" t="inlineStr">
        <is>
          <t>Горох овощной (полив)</t>
        </is>
      </c>
      <c r="C23" s="13" t="inlineStr">
        <is>
          <t>ГРК</t>
        </is>
      </c>
      <c r="D23" s="13" t="n"/>
      <c r="E23" s="13" t="n"/>
      <c r="F23" s="17" t="n">
        <v>46164</v>
      </c>
      <c r="G23" s="13" t="n"/>
      <c r="H23" s="18">
        <f>IF(AND(D23&lt;&gt;"",F23&lt;&gt;""),F23-D23,"")</f>
        <v/>
      </c>
      <c r="I23" s="19">
        <f>Данные!I23</f>
        <v/>
      </c>
      <c r="J23" s="13">
        <f>IF(I23&gt;=0.995,"закрыто",IF(AND(E23&lt;&gt;"",E23&lt;TODAY()),"агросрок истёк, не закрыто",IF(F23="","не начинали","в работе")))</f>
        <v/>
      </c>
    </row>
    <row r="24">
      <c r="A24" s="13" t="inlineStr">
        <is>
          <t>Внесение мин.удобрений №1</t>
        </is>
      </c>
      <c r="B24" s="13" t="inlineStr">
        <is>
          <t>Пшеница озимая</t>
        </is>
      </c>
      <c r="C24" s="13" t="inlineStr">
        <is>
          <t>ГРК</t>
        </is>
      </c>
      <c r="D24" s="17" t="n">
        <v>46080</v>
      </c>
      <c r="E24" s="17" t="n">
        <v>46084</v>
      </c>
      <c r="F24" s="17" t="n">
        <v>46080</v>
      </c>
      <c r="G24" s="17" t="n">
        <v>46084</v>
      </c>
      <c r="H24" s="18">
        <f>IF(AND(D24&lt;&gt;"",F24&lt;&gt;""),F24-D24,"")</f>
        <v/>
      </c>
      <c r="I24" s="19">
        <f>Данные!I24</f>
        <v/>
      </c>
      <c r="J24" s="13">
        <f>IF(I24&gt;=0.995,"закрыто",IF(AND(E24&lt;&gt;"",E24&lt;TODAY()),"агросрок истёк, не закрыто",IF(F24="","не начинали","в работе")))</f>
        <v/>
      </c>
    </row>
    <row r="25">
      <c r="A25" s="13" t="inlineStr">
        <is>
          <t>Внесение мин.удобрений №1</t>
        </is>
      </c>
      <c r="B25" s="13" t="inlineStr">
        <is>
          <t>Горох овощной (богара)</t>
        </is>
      </c>
      <c r="C25" s="13" t="inlineStr">
        <is>
          <t>ГРК</t>
        </is>
      </c>
      <c r="D25" s="13" t="n"/>
      <c r="E25" s="13" t="n"/>
      <c r="F25" s="17" t="n">
        <v>46152</v>
      </c>
      <c r="G25" s="13" t="n"/>
      <c r="H25" s="18">
        <f>IF(AND(D25&lt;&gt;"",F25&lt;&gt;""),F25-D25,"")</f>
        <v/>
      </c>
      <c r="I25" s="19">
        <f>Данные!I25</f>
        <v/>
      </c>
      <c r="J25" s="13">
        <f>IF(I25&gt;=0.995,"закрыто",IF(AND(E25&lt;&gt;"",E25&lt;TODAY()),"агросрок истёк, не закрыто",IF(F25="","не начинали","в работе")))</f>
        <v/>
      </c>
    </row>
    <row r="26">
      <c r="A26" s="13" t="inlineStr">
        <is>
          <t>Внесение мин.удобрений №1</t>
        </is>
      </c>
      <c r="B26" s="13" t="inlineStr">
        <is>
          <t>Рапс озимый</t>
        </is>
      </c>
      <c r="C26" s="13" t="inlineStr">
        <is>
          <t>ГРК</t>
        </is>
      </c>
      <c r="D26" s="17" t="n">
        <v>46080</v>
      </c>
      <c r="E26" s="17" t="n">
        <v>46084</v>
      </c>
      <c r="F26" s="17" t="n">
        <v>46084</v>
      </c>
      <c r="G26" s="17" t="n">
        <v>46084</v>
      </c>
      <c r="H26" s="18">
        <f>IF(AND(D26&lt;&gt;"",F26&lt;&gt;""),F26-D26,"")</f>
        <v/>
      </c>
      <c r="I26" s="19">
        <f>Данные!I26</f>
        <v/>
      </c>
      <c r="J26" s="13">
        <f>IF(I26&gt;=0.995,"закрыто",IF(AND(E26&lt;&gt;"",E26&lt;TODAY()),"агросрок истёк, не закрыто",IF(F26="","не начинали","в работе")))</f>
        <v/>
      </c>
    </row>
    <row r="27">
      <c r="A27" s="13" t="inlineStr">
        <is>
          <t>Внесение мин.удобрений №2</t>
        </is>
      </c>
      <c r="B27" s="13" t="inlineStr">
        <is>
          <t>Рапс озимый</t>
        </is>
      </c>
      <c r="C27" s="13" t="inlineStr">
        <is>
          <t>ГРК</t>
        </is>
      </c>
      <c r="D27" s="13" t="n"/>
      <c r="E27" s="13" t="n"/>
      <c r="F27" s="17" t="n">
        <v>46111</v>
      </c>
      <c r="G27" s="17" t="n">
        <v>46111</v>
      </c>
      <c r="H27" s="18">
        <f>IF(AND(D27&lt;&gt;"",F27&lt;&gt;""),F27-D27,"")</f>
        <v/>
      </c>
      <c r="I27" s="19">
        <f>Данные!I27</f>
        <v/>
      </c>
      <c r="J27" s="13">
        <f>IF(I27&gt;=0.995,"закрыто",IF(AND(E27&lt;&gt;"",E27&lt;TODAY()),"агросрок истёк, не закрыто",IF(F27="","не начинали","в работе")))</f>
        <v/>
      </c>
    </row>
    <row r="28">
      <c r="A28" s="13" t="inlineStr">
        <is>
          <t>Внесение мин.удобрений №2</t>
        </is>
      </c>
      <c r="B28" s="13" t="inlineStr">
        <is>
          <t>Пшеница озимая</t>
        </is>
      </c>
      <c r="C28" s="13" t="inlineStr">
        <is>
          <t>ГРК</t>
        </is>
      </c>
      <c r="D28" s="17" t="n">
        <v>46104</v>
      </c>
      <c r="E28" s="17" t="n">
        <v>46110</v>
      </c>
      <c r="F28" s="17" t="n">
        <v>46104</v>
      </c>
      <c r="G28" s="13" t="n"/>
      <c r="H28" s="18">
        <f>IF(AND(D28&lt;&gt;"",F28&lt;&gt;""),F28-D28,"")</f>
        <v/>
      </c>
      <c r="I28" s="19">
        <f>Данные!I28</f>
        <v/>
      </c>
      <c r="J28" s="13">
        <f>IF(I28&gt;=0.995,"закрыто",IF(AND(E28&lt;&gt;"",E28&lt;TODAY()),"агросрок истёк, не закрыто",IF(F28="","не начинали","в работе")))</f>
        <v/>
      </c>
    </row>
    <row r="29">
      <c r="A29" s="13" t="inlineStr">
        <is>
          <t>Предпосевная культивация</t>
        </is>
      </c>
      <c r="B29" s="13" t="inlineStr">
        <is>
          <t>Горох овощной (полив)</t>
        </is>
      </c>
      <c r="C29" s="13" t="inlineStr">
        <is>
          <t>ГРК</t>
        </is>
      </c>
      <c r="D29" s="17" t="n">
        <v>46106</v>
      </c>
      <c r="E29" s="17" t="n">
        <v>46142</v>
      </c>
      <c r="F29" s="17" t="n">
        <v>46137</v>
      </c>
      <c r="G29" s="13" t="n"/>
      <c r="H29" s="18">
        <f>IF(AND(D29&lt;&gt;"",F29&lt;&gt;""),F29-D29,"")</f>
        <v/>
      </c>
      <c r="I29" s="19">
        <f>Данные!I29</f>
        <v/>
      </c>
      <c r="J29" s="13">
        <f>IF(I29&gt;=0.995,"закрыто",IF(AND(E29&lt;&gt;"",E29&lt;TODAY()),"агросрок истёк, не закрыто",IF(F29="","не начинали","в работе")))</f>
        <v/>
      </c>
    </row>
    <row r="30">
      <c r="A30" s="13" t="inlineStr">
        <is>
          <t>Предпосевная культивация</t>
        </is>
      </c>
      <c r="B30" s="13" t="inlineStr">
        <is>
          <t>Подсолнечник гибридный</t>
        </is>
      </c>
      <c r="C30" s="13" t="inlineStr">
        <is>
          <t>ГРК</t>
        </is>
      </c>
      <c r="D30" s="13" t="n"/>
      <c r="E30" s="13" t="n"/>
      <c r="F30" s="17" t="n">
        <v>46138</v>
      </c>
      <c r="G30" s="13" t="n"/>
      <c r="H30" s="18">
        <f>IF(AND(D30&lt;&gt;"",F30&lt;&gt;""),F30-D30,"")</f>
        <v/>
      </c>
      <c r="I30" s="19">
        <f>Данные!I30</f>
        <v/>
      </c>
      <c r="J30" s="13">
        <f>IF(I30&gt;=0.995,"закрыто",IF(AND(E30&lt;&gt;"",E30&lt;TODAY()),"агросрок истёк, не закрыто",IF(F30="","не начинали","в работе")))</f>
        <v/>
      </c>
    </row>
    <row r="31">
      <c r="A31" s="13" t="inlineStr">
        <is>
          <t>Предпосевная культивация</t>
        </is>
      </c>
      <c r="B31" s="13" t="inlineStr">
        <is>
          <t>Горох овощной (богара)</t>
        </is>
      </c>
      <c r="C31" s="13" t="inlineStr">
        <is>
          <t>ГРК</t>
        </is>
      </c>
      <c r="D31" s="17" t="n">
        <v>46026</v>
      </c>
      <c r="E31" s="17" t="n">
        <v>46101</v>
      </c>
      <c r="F31" s="17" t="n">
        <v>46085</v>
      </c>
      <c r="G31" s="13" t="n"/>
      <c r="H31" s="18">
        <f>IF(AND(D31&lt;&gt;"",F31&lt;&gt;""),F31-D31,"")</f>
        <v/>
      </c>
      <c r="I31" s="19">
        <f>Данные!I31</f>
        <v/>
      </c>
      <c r="J31" s="13">
        <f>IF(I31&gt;=0.995,"закрыто",IF(AND(E31&lt;&gt;"",E31&lt;TODAY()),"агросрок истёк, не закрыто",IF(F31="","не начинали","в работе")))</f>
        <v/>
      </c>
    </row>
    <row r="32">
      <c r="A32" s="13" t="inlineStr">
        <is>
          <t>Предпосевная культивация</t>
        </is>
      </c>
      <c r="B32" s="13" t="inlineStr">
        <is>
          <t>Подсолнечник</t>
        </is>
      </c>
      <c r="C32" s="13" t="inlineStr">
        <is>
          <t>ГРК</t>
        </is>
      </c>
      <c r="D32" s="17" t="n">
        <v>46113</v>
      </c>
      <c r="E32" s="17" t="n">
        <v>46122</v>
      </c>
      <c r="F32" s="17" t="n">
        <v>46114</v>
      </c>
      <c r="G32" s="17" t="n">
        <v>46119</v>
      </c>
      <c r="H32" s="18">
        <f>IF(AND(D32&lt;&gt;"",F32&lt;&gt;""),F32-D32,"")</f>
        <v/>
      </c>
      <c r="I32" s="19">
        <f>Данные!I32</f>
        <v/>
      </c>
      <c r="J32" s="13">
        <f>IF(I32&gt;=0.995,"закрыто",IF(AND(E32&lt;&gt;"",E32&lt;TODAY()),"агросрок истёк, не закрыто",IF(F32="","не начинали","в работе")))</f>
        <v/>
      </c>
    </row>
    <row r="33">
      <c r="A33" s="13" t="inlineStr">
        <is>
          <t>Предпосевная культивация</t>
        </is>
      </c>
      <c r="B33" s="13" t="inlineStr">
        <is>
          <t>Кукуруза на зерно</t>
        </is>
      </c>
      <c r="C33" s="13" t="inlineStr">
        <is>
          <t>ГРК</t>
        </is>
      </c>
      <c r="D33" s="17" t="n">
        <v>46122</v>
      </c>
      <c r="E33" s="17" t="n">
        <v>46127</v>
      </c>
      <c r="F33" s="17" t="n">
        <v>46130</v>
      </c>
      <c r="G33" s="17" t="n">
        <v>46130</v>
      </c>
      <c r="H33" s="18">
        <f>IF(AND(D33&lt;&gt;"",F33&lt;&gt;""),F33-D33,"")</f>
        <v/>
      </c>
      <c r="I33" s="19">
        <f>Данные!I33</f>
        <v/>
      </c>
      <c r="J33" s="13">
        <f>IF(I33&gt;=0.995,"закрыто",IF(AND(E33&lt;&gt;"",E33&lt;TODAY()),"агросрок истёк, не закрыто",IF(F33="","не начинали","в работе")))</f>
        <v/>
      </c>
    </row>
    <row r="34">
      <c r="A34" s="13" t="inlineStr">
        <is>
          <t>Предпосевная культивация</t>
        </is>
      </c>
      <c r="B34" s="13" t="inlineStr">
        <is>
          <t>кукуруза супер сладкая</t>
        </is>
      </c>
      <c r="C34" s="13" t="inlineStr">
        <is>
          <t>ГРК</t>
        </is>
      </c>
      <c r="D34" s="13" t="n"/>
      <c r="E34" s="13" t="n"/>
      <c r="F34" s="17" t="n">
        <v>46148</v>
      </c>
      <c r="G34" s="13" t="n"/>
      <c r="H34" s="18">
        <f>IF(AND(D34&lt;&gt;"",F34&lt;&gt;""),F34-D34,"")</f>
        <v/>
      </c>
      <c r="I34" s="19">
        <f>Данные!I34</f>
        <v/>
      </c>
      <c r="J34" s="13">
        <f>IF(I34&gt;=0.995,"закрыто",IF(AND(E34&lt;&gt;"",E34&lt;TODAY()),"агросрок истёк, не закрыто",IF(F34="","не начинали","в работе")))</f>
        <v/>
      </c>
    </row>
    <row r="35">
      <c r="A35" s="13" t="inlineStr">
        <is>
          <t>Предпосевная культивация</t>
        </is>
      </c>
      <c r="B35" s="13" t="inlineStr">
        <is>
          <t>Подсолнечник товарный</t>
        </is>
      </c>
      <c r="C35" s="13" t="inlineStr">
        <is>
          <t>ГРК</t>
        </is>
      </c>
      <c r="D35" s="13" t="n"/>
      <c r="E35" s="13" t="n"/>
      <c r="F35" s="17" t="n">
        <v>46117</v>
      </c>
      <c r="G35" s="13" t="n"/>
      <c r="H35" s="18">
        <f>IF(AND(D35&lt;&gt;"",F35&lt;&gt;""),F35-D35,"")</f>
        <v/>
      </c>
      <c r="I35" s="19">
        <f>Данные!I35</f>
        <v/>
      </c>
      <c r="J35" s="13">
        <f>IF(I35&gt;=0.995,"закрыто",IF(AND(E35&lt;&gt;"",E35&lt;TODAY()),"агросрок истёк, не закрыто",IF(F35="","не начинали","в работе")))</f>
        <v/>
      </c>
    </row>
    <row r="36">
      <c r="A36" s="13" t="inlineStr">
        <is>
          <t>Сев горошка</t>
        </is>
      </c>
      <c r="B36" s="13" t="inlineStr">
        <is>
          <t>Горох овощной (богара)</t>
        </is>
      </c>
      <c r="C36" s="13" t="inlineStr">
        <is>
          <t>ГРК</t>
        </is>
      </c>
      <c r="D36" s="17" t="n">
        <v>46082</v>
      </c>
      <c r="E36" s="17" t="n">
        <v>46116</v>
      </c>
      <c r="F36" s="17" t="n">
        <v>46082</v>
      </c>
      <c r="G36" s="17" t="n">
        <v>46146</v>
      </c>
      <c r="H36" s="18">
        <f>IF(AND(D36&lt;&gt;"",F36&lt;&gt;""),F36-D36,"")</f>
        <v/>
      </c>
      <c r="I36" s="19">
        <f>Данные!I36</f>
        <v/>
      </c>
      <c r="J36" s="13">
        <f>IF(I36&gt;=0.995,"закрыто",IF(AND(E36&lt;&gt;"",E36&lt;TODAY()),"агросрок истёк, не закрыто",IF(F36="","не начинали","в работе")))</f>
        <v/>
      </c>
    </row>
    <row r="37">
      <c r="A37" s="13" t="inlineStr">
        <is>
          <t>Сев горошка</t>
        </is>
      </c>
      <c r="B37" s="13" t="inlineStr">
        <is>
          <t>Горох овощной (полив)</t>
        </is>
      </c>
      <c r="C37" s="13" t="inlineStr">
        <is>
          <t>ГРК</t>
        </is>
      </c>
      <c r="D37" s="17" t="n">
        <v>46111</v>
      </c>
      <c r="E37" s="17" t="n">
        <v>46147</v>
      </c>
      <c r="F37" s="17" t="n">
        <v>46113</v>
      </c>
      <c r="G37" s="17" t="n">
        <v>46148</v>
      </c>
      <c r="H37" s="18">
        <f>IF(AND(D37&lt;&gt;"",F37&lt;&gt;""),F37-D37,"")</f>
        <v/>
      </c>
      <c r="I37" s="19">
        <f>Данные!I37</f>
        <v/>
      </c>
      <c r="J37" s="13">
        <f>IF(I37&gt;=0.995,"закрыто",IF(AND(E37&lt;&gt;"",E37&lt;TODAY()),"агросрок истёк, не закрыто",IF(F37="","не начинали","в работе")))</f>
        <v/>
      </c>
    </row>
    <row r="38">
      <c r="A38" s="13" t="inlineStr">
        <is>
          <t>Сев горошка</t>
        </is>
      </c>
      <c r="B38" s="13" t="inlineStr">
        <is>
          <t>Горох овощной (полив)</t>
        </is>
      </c>
      <c r="C38" s="13" t="inlineStr">
        <is>
          <t>АгроЛидер</t>
        </is>
      </c>
      <c r="D38" s="17" t="n">
        <v>46117</v>
      </c>
      <c r="E38" s="17" t="n">
        <v>46124</v>
      </c>
      <c r="F38" s="17" t="n">
        <v>46117</v>
      </c>
      <c r="G38" s="17" t="n">
        <v>46128</v>
      </c>
      <c r="H38" s="18">
        <f>IF(AND(D38&lt;&gt;"",F38&lt;&gt;""),F38-D38,"")</f>
        <v/>
      </c>
      <c r="I38" s="19">
        <f>Данные!I38</f>
        <v/>
      </c>
      <c r="J38" s="13">
        <f>IF(I38&gt;=0.995,"закрыто",IF(AND(E38&lt;&gt;"",E38&lt;TODAY()),"агросрок истёк, не закрыто",IF(F38="","не начинали","в работе")))</f>
        <v/>
      </c>
    </row>
    <row r="39">
      <c r="A39" s="13" t="inlineStr">
        <is>
          <t>Сев горошка</t>
        </is>
      </c>
      <c r="B39" s="13" t="inlineStr">
        <is>
          <t>Горох овощной (полив)</t>
        </is>
      </c>
      <c r="C39" s="13" t="inlineStr">
        <is>
          <t>Колос</t>
        </is>
      </c>
      <c r="D39" s="17" t="n">
        <v>46125</v>
      </c>
      <c r="E39" s="17" t="n">
        <v>46138</v>
      </c>
      <c r="F39" s="17" t="n">
        <v>46129</v>
      </c>
      <c r="G39" s="17" t="n">
        <v>46141</v>
      </c>
      <c r="H39" s="18">
        <f>IF(AND(D39&lt;&gt;"",F39&lt;&gt;""),F39-D39,"")</f>
        <v/>
      </c>
      <c r="I39" s="19">
        <f>Данные!I39</f>
        <v/>
      </c>
      <c r="J39" s="13">
        <f>IF(I39&gt;=0.995,"закрыто",IF(AND(E39&lt;&gt;"",E39&lt;TODAY()),"агросрок истёк, не закрыто",IF(F39="","не начинали","в работе")))</f>
        <v/>
      </c>
    </row>
    <row r="40">
      <c r="A40" s="13" t="inlineStr">
        <is>
          <t>Сев зерновых</t>
        </is>
      </c>
      <c r="B40" s="13" t="inlineStr">
        <is>
          <t>Подсолнечник товарный</t>
        </is>
      </c>
      <c r="C40" s="13" t="inlineStr">
        <is>
          <t>ГРК</t>
        </is>
      </c>
      <c r="D40" s="13" t="n"/>
      <c r="E40" s="13" t="n"/>
      <c r="F40" s="17" t="n">
        <v>46117</v>
      </c>
      <c r="G40" s="17" t="n">
        <v>46131</v>
      </c>
      <c r="H40" s="18">
        <f>IF(AND(D40&lt;&gt;"",F40&lt;&gt;""),F40-D40,"")</f>
        <v/>
      </c>
      <c r="I40" s="19">
        <f>Данные!I40</f>
        <v/>
      </c>
      <c r="J40" s="13">
        <f>IF(I40&gt;=0.995,"закрыто",IF(AND(E40&lt;&gt;"",E40&lt;TODAY()),"агросрок истёк, не закрыто",IF(F40="","не начинали","в работе")))</f>
        <v/>
      </c>
    </row>
    <row r="41">
      <c r="A41" s="13" t="inlineStr">
        <is>
          <t>Сев зерновых</t>
        </is>
      </c>
      <c r="B41" s="13" t="inlineStr">
        <is>
          <t>Кукуруза на зерно</t>
        </is>
      </c>
      <c r="C41" s="13" t="inlineStr">
        <is>
          <t>ГРК</t>
        </is>
      </c>
      <c r="D41" s="13" t="n"/>
      <c r="E41" s="13" t="n"/>
      <c r="F41" s="17" t="n">
        <v>46130</v>
      </c>
      <c r="G41" s="17" t="n">
        <v>46132</v>
      </c>
      <c r="H41" s="18">
        <f>IF(AND(D41&lt;&gt;"",F41&lt;&gt;""),F41-D41,"")</f>
        <v/>
      </c>
      <c r="I41" s="19">
        <f>Данные!I41</f>
        <v/>
      </c>
      <c r="J41" s="13">
        <f>IF(I41&gt;=0.995,"закрыто",IF(AND(E41&lt;&gt;"",E41&lt;TODAY()),"агросрок истёк, не закрыто",IF(F41="","не начинали","в работе")))</f>
        <v/>
      </c>
    </row>
    <row r="42">
      <c r="A42" s="13" t="inlineStr">
        <is>
          <t>Сев зерновых</t>
        </is>
      </c>
      <c r="B42" s="13" t="inlineStr">
        <is>
          <t>Подсолнечник гибридный</t>
        </is>
      </c>
      <c r="C42" s="13" t="inlineStr">
        <is>
          <t>ГРК</t>
        </is>
      </c>
      <c r="D42" s="13" t="n"/>
      <c r="E42" s="13" t="n"/>
      <c r="F42" s="17" t="n">
        <v>46165</v>
      </c>
      <c r="G42" s="13" t="n"/>
      <c r="H42" s="18">
        <f>IF(AND(D42&lt;&gt;"",F42&lt;&gt;""),F42-D42,"")</f>
        <v/>
      </c>
      <c r="I42" s="19">
        <f>Данные!I42</f>
        <v/>
      </c>
      <c r="J42" s="13">
        <f>IF(I42&gt;=0.995,"закрыто",IF(AND(E42&lt;&gt;"",E42&lt;TODAY()),"агросрок истёк, не закрыто",IF(F42="","не начинали","в работе")))</f>
        <v/>
      </c>
    </row>
    <row r="43">
      <c r="A43" s="13" t="inlineStr">
        <is>
          <t>Культивация№1</t>
        </is>
      </c>
      <c r="B43" s="13" t="inlineStr">
        <is>
          <t>Кукуруза (сладкая)</t>
        </is>
      </c>
      <c r="C43" s="13" t="inlineStr">
        <is>
          <t>ГРК</t>
        </is>
      </c>
      <c r="D43" s="13" t="n"/>
      <c r="E43" s="13" t="n"/>
      <c r="F43" s="17" t="n">
        <v>46135</v>
      </c>
      <c r="G43" s="17" t="n">
        <v>46137</v>
      </c>
      <c r="H43" s="18">
        <f>IF(AND(D43&lt;&gt;"",F43&lt;&gt;""),F43-D43,"")</f>
        <v/>
      </c>
      <c r="I43" s="19">
        <f>Данные!I43</f>
        <v/>
      </c>
      <c r="J43" s="13">
        <f>IF(I43&gt;=0.995,"закрыто",IF(AND(E43&lt;&gt;"",E43&lt;TODAY()),"агросрок истёк, не закрыто",IF(F43="","не начинали","в работе")))</f>
        <v/>
      </c>
    </row>
    <row r="44">
      <c r="A44" s="13" t="inlineStr">
        <is>
          <t>Культивация№1</t>
        </is>
      </c>
      <c r="B44" s="13" t="inlineStr">
        <is>
          <t>Горох овощной (полив)</t>
        </is>
      </c>
      <c r="C44" s="13" t="inlineStr">
        <is>
          <t>ГРК</t>
        </is>
      </c>
      <c r="D44" s="17" t="n">
        <v>46027</v>
      </c>
      <c r="E44" s="17" t="n">
        <v>46101</v>
      </c>
      <c r="F44" s="17" t="n">
        <v>46086</v>
      </c>
      <c r="G44" s="13" t="n"/>
      <c r="H44" s="18">
        <f>IF(AND(D44&lt;&gt;"",F44&lt;&gt;""),F44-D44,"")</f>
        <v/>
      </c>
      <c r="I44" s="19">
        <f>Данные!I44</f>
        <v/>
      </c>
      <c r="J44" s="13">
        <f>IF(I44&gt;=0.995,"закрыто",IF(AND(E44&lt;&gt;"",E44&lt;TODAY()),"агросрок истёк, не закрыто",IF(F44="","не начинали","в работе")))</f>
        <v/>
      </c>
    </row>
    <row r="45">
      <c r="A45" s="13" t="inlineStr">
        <is>
          <t>Культивация№1</t>
        </is>
      </c>
      <c r="B45" s="13" t="inlineStr">
        <is>
          <t>Подсолнечник гибридный</t>
        </is>
      </c>
      <c r="C45" s="13" t="inlineStr">
        <is>
          <t>ГРК</t>
        </is>
      </c>
      <c r="D45" s="17" t="n">
        <v>46093</v>
      </c>
      <c r="E45" s="17" t="n">
        <v>46101</v>
      </c>
      <c r="F45" s="17" t="n">
        <v>46093</v>
      </c>
      <c r="G45" s="17" t="n">
        <v>46101</v>
      </c>
      <c r="H45" s="18">
        <f>IF(AND(D45&lt;&gt;"",F45&lt;&gt;""),F45-D45,"")</f>
        <v/>
      </c>
      <c r="I45" s="19">
        <f>Данные!I45</f>
        <v/>
      </c>
      <c r="J45" s="13">
        <f>IF(I45&gt;=0.995,"закрыто",IF(AND(E45&lt;&gt;"",E45&lt;TODAY()),"агросрок истёк, не закрыто",IF(F45="","не начинали","в работе")))</f>
        <v/>
      </c>
    </row>
    <row r="46">
      <c r="A46" s="13" t="inlineStr">
        <is>
          <t>Культивация№1</t>
        </is>
      </c>
      <c r="B46" s="13" t="inlineStr">
        <is>
          <t>Кукуруза на зерно</t>
        </is>
      </c>
      <c r="C46" s="13" t="inlineStr">
        <is>
          <t>ГРК</t>
        </is>
      </c>
      <c r="D46" s="13" t="n"/>
      <c r="E46" s="13" t="n"/>
      <c r="F46" s="17" t="n">
        <v>46094</v>
      </c>
      <c r="G46" s="13" t="n"/>
      <c r="H46" s="18">
        <f>IF(AND(D46&lt;&gt;"",F46&lt;&gt;""),F46-D46,"")</f>
        <v/>
      </c>
      <c r="I46" s="19">
        <f>Данные!I46</f>
        <v/>
      </c>
      <c r="J46" s="13">
        <f>IF(I46&gt;=0.995,"закрыто",IF(AND(E46&lt;&gt;"",E46&lt;TODAY()),"агросрок истёк, не закрыто",IF(F46="","не начинали","в работе")))</f>
        <v/>
      </c>
    </row>
    <row r="47">
      <c r="A47" s="13" t="inlineStr">
        <is>
          <t>Культивация№1</t>
        </is>
      </c>
      <c r="B47" s="13" t="inlineStr">
        <is>
          <t>Подсолнечник</t>
        </is>
      </c>
      <c r="C47" s="13" t="inlineStr">
        <is>
          <t>ГРК</t>
        </is>
      </c>
      <c r="D47" s="13" t="n"/>
      <c r="E47" s="13" t="n"/>
      <c r="F47" s="17" t="n">
        <v>46095</v>
      </c>
      <c r="G47" s="13" t="n"/>
      <c r="H47" s="18">
        <f>IF(AND(D47&lt;&gt;"",F47&lt;&gt;""),F47-D47,"")</f>
        <v/>
      </c>
      <c r="I47" s="19">
        <f>Данные!I47</f>
        <v/>
      </c>
      <c r="J47" s="13">
        <f>IF(I47&gt;=0.995,"закрыто",IF(AND(E47&lt;&gt;"",E47&lt;TODAY()),"агросрок истёк, не закрыто",IF(F47="","не начинали","в работе")))</f>
        <v/>
      </c>
    </row>
    <row r="48">
      <c r="A48" s="13" t="inlineStr">
        <is>
          <t>Культивация№111</t>
        </is>
      </c>
      <c r="B48" s="13" t="inlineStr">
        <is>
          <t>Кукуруза (сладкая)</t>
        </is>
      </c>
      <c r="C48" s="13" t="inlineStr">
        <is>
          <t>ГРК</t>
        </is>
      </c>
      <c r="D48" s="13" t="n"/>
      <c r="E48" s="13" t="n"/>
      <c r="F48" s="17" t="n">
        <v>46135</v>
      </c>
      <c r="G48" s="17" t="n">
        <v>46137</v>
      </c>
      <c r="H48" s="18">
        <f>IF(AND(D48&lt;&gt;"",F48&lt;&gt;""),F48-D48,"")</f>
        <v/>
      </c>
      <c r="I48" s="19">
        <f>Данные!I48</f>
        <v/>
      </c>
      <c r="J48" s="13">
        <f>IF(I48&gt;=0.995,"закрыто",IF(AND(E48&lt;&gt;"",E48&lt;TODAY()),"агросрок истёк, не закрыто",IF(F48="","не начинали","в работе")))</f>
        <v/>
      </c>
    </row>
    <row r="49">
      <c r="A49" s="13" t="inlineStr">
        <is>
          <t>Культивация№111</t>
        </is>
      </c>
      <c r="B49" s="13" t="inlineStr">
        <is>
          <t>Горох овощной (полив)</t>
        </is>
      </c>
      <c r="C49" s="13" t="inlineStr">
        <is>
          <t>ГРК</t>
        </is>
      </c>
      <c r="D49" s="17" t="n">
        <v>46027</v>
      </c>
      <c r="E49" s="17" t="n">
        <v>46101</v>
      </c>
      <c r="F49" s="17" t="n">
        <v>46086</v>
      </c>
      <c r="G49" s="13" t="n"/>
      <c r="H49" s="18">
        <f>IF(AND(D49&lt;&gt;"",F49&lt;&gt;""),F49-D49,"")</f>
        <v/>
      </c>
      <c r="I49" s="19">
        <f>Данные!I49</f>
        <v/>
      </c>
      <c r="J49" s="13">
        <f>IF(I49&gt;=0.995,"закрыто",IF(AND(E49&lt;&gt;"",E49&lt;TODAY()),"агросрок истёк, не закрыто",IF(F49="","не начинали","в работе")))</f>
        <v/>
      </c>
    </row>
    <row r="50">
      <c r="A50" s="13" t="inlineStr">
        <is>
          <t>Культивация№111</t>
        </is>
      </c>
      <c r="B50" s="13" t="inlineStr">
        <is>
          <t>Подсолнечник гибридный</t>
        </is>
      </c>
      <c r="C50" s="13" t="inlineStr">
        <is>
          <t>ГРК</t>
        </is>
      </c>
      <c r="D50" s="17" t="n">
        <v>46093</v>
      </c>
      <c r="E50" s="17" t="n">
        <v>46101</v>
      </c>
      <c r="F50" s="17" t="n">
        <v>46093</v>
      </c>
      <c r="G50" s="17" t="n">
        <v>46101</v>
      </c>
      <c r="H50" s="18">
        <f>IF(AND(D50&lt;&gt;"",F50&lt;&gt;""),F50-D50,"")</f>
        <v/>
      </c>
      <c r="I50" s="19">
        <f>Данные!I50</f>
        <v/>
      </c>
      <c r="J50" s="13">
        <f>IF(I50&gt;=0.995,"закрыто",IF(AND(E50&lt;&gt;"",E50&lt;TODAY()),"агросрок истёк, не закрыто",IF(F50="","не начинали","в работе")))</f>
        <v/>
      </c>
    </row>
    <row r="51">
      <c r="A51" s="13" t="inlineStr">
        <is>
          <t>Культивация№111</t>
        </is>
      </c>
      <c r="B51" s="13" t="inlineStr">
        <is>
          <t>Кукуруза на зерно</t>
        </is>
      </c>
      <c r="C51" s="13" t="inlineStr">
        <is>
          <t>ГРК</t>
        </is>
      </c>
      <c r="D51" s="13" t="n"/>
      <c r="E51" s="13" t="n"/>
      <c r="F51" s="17" t="n">
        <v>46094</v>
      </c>
      <c r="G51" s="13" t="n"/>
      <c r="H51" s="18">
        <f>IF(AND(D51&lt;&gt;"",F51&lt;&gt;""),F51-D51,"")</f>
        <v/>
      </c>
      <c r="I51" s="19">
        <f>Данные!I51</f>
        <v/>
      </c>
      <c r="J51" s="13">
        <f>IF(I51&gt;=0.995,"закрыто",IF(AND(E51&lt;&gt;"",E51&lt;TODAY()),"агросрок истёк, не закрыто",IF(F51="","не начинали","в работе")))</f>
        <v/>
      </c>
    </row>
    <row r="52">
      <c r="A52" s="13" t="inlineStr">
        <is>
          <t>Культивация№111</t>
        </is>
      </c>
      <c r="B52" s="13" t="inlineStr">
        <is>
          <t>Подсолнечник</t>
        </is>
      </c>
      <c r="C52" s="13" t="inlineStr">
        <is>
          <t>ГРК</t>
        </is>
      </c>
      <c r="D52" s="13" t="n"/>
      <c r="E52" s="13" t="n"/>
      <c r="F52" s="17" t="n">
        <v>46095</v>
      </c>
      <c r="G52" s="13" t="n"/>
      <c r="H52" s="18">
        <f>IF(AND(D52&lt;&gt;"",F52&lt;&gt;""),F52-D52,"")</f>
        <v/>
      </c>
      <c r="I52" s="19">
        <f>Данные!I52</f>
        <v/>
      </c>
      <c r="J52" s="13">
        <f>IF(I52&gt;=0.995,"закрыто",IF(AND(E52&lt;&gt;"",E52&lt;TODAY()),"агросрок истёк, не закрыто",IF(F52="","не начинали","в работе")))</f>
        <v/>
      </c>
    </row>
    <row r="53">
      <c r="A53" s="13" t="inlineStr">
        <is>
          <t>СЕВ СЛАДКОЙ КУКУРУЗЫ</t>
        </is>
      </c>
      <c r="B53" s="13" t="inlineStr">
        <is>
          <t>Кукуруза супер.сладкая(полив)</t>
        </is>
      </c>
      <c r="C53" s="13" t="inlineStr">
        <is>
          <t>ГРК</t>
        </is>
      </c>
      <c r="D53" s="13" t="n"/>
      <c r="E53" s="13" t="n"/>
      <c r="F53" s="17" t="n">
        <v>46147</v>
      </c>
      <c r="G53" s="13" t="n"/>
      <c r="H53" s="18">
        <f>IF(AND(D53&lt;&gt;"",F53&lt;&gt;""),F53-D53,"")</f>
        <v/>
      </c>
      <c r="I53" s="19">
        <f>Данные!I53</f>
        <v/>
      </c>
      <c r="J53" s="13">
        <f>IF(I53&gt;=0.995,"закрыто",IF(AND(E53&lt;&gt;"",E53&lt;TODAY()),"агросрок истёк, не закрыто",IF(F53="","не начинали","в работе")))</f>
        <v/>
      </c>
    </row>
    <row r="54">
      <c r="A54" s="13" t="inlineStr">
        <is>
          <t>СЕВ СЛАДКОЙ КУКУРУЗЫ</t>
        </is>
      </c>
      <c r="B54" s="13" t="inlineStr">
        <is>
          <t>Кукуруза сладкая</t>
        </is>
      </c>
      <c r="C54" s="13" t="inlineStr">
        <is>
          <t>Киров</t>
        </is>
      </c>
      <c r="D54" s="13" t="n"/>
      <c r="E54" s="13" t="n"/>
      <c r="F54" s="17" t="n">
        <v>46150</v>
      </c>
      <c r="G54" s="17" t="n">
        <v>46165</v>
      </c>
      <c r="H54" s="18">
        <f>IF(AND(D54&lt;&gt;"",F54&lt;&gt;""),F54-D54,"")</f>
        <v/>
      </c>
      <c r="I54" s="19">
        <f>Данные!I54</f>
        <v/>
      </c>
      <c r="J54" s="13">
        <f>IF(I54&gt;=0.995,"закрыто",IF(AND(E54&lt;&gt;"",E54&lt;TODAY()),"агросрок истёк, не закрыто",IF(F54="","не начинали","в работе")))</f>
        <v/>
      </c>
    </row>
    <row r="55">
      <c r="A55" s="13" t="inlineStr">
        <is>
          <t>СЕВ СЛАДКОЙ КУКУРУЗЫ</t>
        </is>
      </c>
      <c r="B55" s="13" t="inlineStr">
        <is>
          <t>Кукуруза суперсладкая</t>
        </is>
      </c>
      <c r="C55" s="13" t="inlineStr">
        <is>
          <t>Ипатовский(винодельнийский)</t>
        </is>
      </c>
      <c r="D55" s="13" t="n"/>
      <c r="E55" s="13" t="n"/>
      <c r="F55" s="13" t="n"/>
      <c r="G55" s="13" t="n"/>
      <c r="H55" s="18">
        <f>IF(AND(D55&lt;&gt;"",F55&lt;&gt;""),F55-D55,"")</f>
        <v/>
      </c>
      <c r="I55" s="19">
        <f>Данные!I55</f>
        <v/>
      </c>
      <c r="J55" s="13">
        <f>IF(I55&gt;=0.995,"закрыто",IF(AND(E55&lt;&gt;"",E55&lt;TODAY()),"агросрок истёк, не закрыто",IF(F55="","не начинали","в работе")))</f>
        <v/>
      </c>
    </row>
    <row r="56">
      <c r="A56" s="13" t="inlineStr">
        <is>
          <t>СЕВ СЛАДКОЙ КУКУРУЗЫ</t>
        </is>
      </c>
      <c r="B56" s="13" t="inlineStr">
        <is>
          <t>Кукуруза сахарная</t>
        </is>
      </c>
      <c r="C56" s="13" t="inlineStr">
        <is>
          <t>Ипатовский(винодельнийский)</t>
        </is>
      </c>
      <c r="D56" s="13" t="n"/>
      <c r="E56" s="13" t="n"/>
      <c r="F56" s="17" t="n">
        <v>46166</v>
      </c>
      <c r="G56" s="13" t="n"/>
      <c r="H56" s="18">
        <f>IF(AND(D56&lt;&gt;"",F56&lt;&gt;""),F56-D56,"")</f>
        <v/>
      </c>
      <c r="I56" s="19">
        <f>Данные!I56</f>
        <v/>
      </c>
      <c r="J56" s="13">
        <f>IF(I56&gt;=0.995,"закрыто",IF(AND(E56&lt;&gt;"",E56&lt;TODAY()),"агросрок истёк, не закрыто",IF(F56="","не начинали","в работе")))</f>
        <v/>
      </c>
    </row>
    <row r="57">
      <c r="A57" s="13" t="inlineStr">
        <is>
          <t>Прикатывание до всходов</t>
        </is>
      </c>
      <c r="B57" s="13" t="inlineStr">
        <is>
          <t>Горох овощной (богара)</t>
        </is>
      </c>
      <c r="C57" s="13" t="inlineStr">
        <is>
          <t>ГРК</t>
        </is>
      </c>
      <c r="D57" s="17" t="n">
        <v>46084</v>
      </c>
      <c r="E57" s="17" t="n">
        <v>46104</v>
      </c>
      <c r="F57" s="17" t="n">
        <v>46084</v>
      </c>
      <c r="G57" s="13" t="n"/>
      <c r="H57" s="18">
        <f>IF(AND(D57&lt;&gt;"",F57&lt;&gt;""),F57-D57,"")</f>
        <v/>
      </c>
      <c r="I57" s="19">
        <f>Данные!I57</f>
        <v/>
      </c>
      <c r="J57" s="13">
        <f>IF(I57&gt;=0.995,"закрыто",IF(AND(E57&lt;&gt;"",E57&lt;TODAY()),"агросрок истёк, не закрыто",IF(F57="","не начинали","в работе")))</f>
        <v/>
      </c>
    </row>
    <row r="58">
      <c r="A58" s="13" t="inlineStr">
        <is>
          <t>Культивация№2</t>
        </is>
      </c>
      <c r="B58" s="13" t="inlineStr">
        <is>
          <t>Подсолнечник гибридный</t>
        </is>
      </c>
      <c r="C58" s="13" t="inlineStr">
        <is>
          <t>ГРК</t>
        </is>
      </c>
      <c r="D58" s="13" t="n"/>
      <c r="E58" s="13" t="n"/>
      <c r="F58" s="17" t="n">
        <v>46105</v>
      </c>
      <c r="G58" s="17" t="n">
        <v>46111</v>
      </c>
      <c r="H58" s="18">
        <f>IF(AND(D58&lt;&gt;"",F58&lt;&gt;""),F58-D58,"")</f>
        <v/>
      </c>
      <c r="I58" s="19">
        <f>Данные!I58</f>
        <v/>
      </c>
      <c r="J58" s="13">
        <f>IF(I58&gt;=0.995,"закрыто",IF(AND(E58&lt;&gt;"",E58&lt;TODAY()),"агросрок истёк, не закрыто",IF(F58="","не начинали","в работе")))</f>
        <v/>
      </c>
    </row>
    <row r="59">
      <c r="A59" s="13" t="inlineStr">
        <is>
          <t>Культивация№2</t>
        </is>
      </c>
      <c r="B59" s="13" t="inlineStr">
        <is>
          <t>Горох овощной (полив)</t>
        </is>
      </c>
      <c r="C59" s="13" t="inlineStr">
        <is>
          <t>ГРК</t>
        </is>
      </c>
      <c r="D59" s="13" t="n"/>
      <c r="E59" s="13" t="n"/>
      <c r="F59" s="17" t="n">
        <v>46144</v>
      </c>
      <c r="G59" s="13" t="n"/>
      <c r="H59" s="18">
        <f>IF(AND(D59&lt;&gt;"",F59&lt;&gt;""),F59-D59,"")</f>
        <v/>
      </c>
      <c r="I59" s="19">
        <f>Данные!I59</f>
        <v/>
      </c>
      <c r="J59" s="13">
        <f>IF(I59&gt;=0.995,"закрыто",IF(AND(E59&lt;&gt;"",E59&lt;TODAY()),"агросрок истёк, не закрыто",IF(F59="","не начинали","в работе")))</f>
        <v/>
      </c>
    </row>
    <row r="60">
      <c r="A60" s="13" t="inlineStr">
        <is>
          <t>Культивация№3</t>
        </is>
      </c>
      <c r="B60" s="13" t="inlineStr">
        <is>
          <t>Подсолнечник гибридный</t>
        </is>
      </c>
      <c r="C60" s="13" t="inlineStr">
        <is>
          <t>ГРК</t>
        </is>
      </c>
      <c r="D60" s="13" t="n"/>
      <c r="E60" s="13" t="n"/>
      <c r="F60" s="17" t="n">
        <v>46150</v>
      </c>
      <c r="G60" s="17" t="n">
        <v>46164</v>
      </c>
      <c r="H60" s="18">
        <f>IF(AND(D60&lt;&gt;"",F60&lt;&gt;""),F60-D60,"")</f>
        <v/>
      </c>
      <c r="I60" s="19">
        <f>Данные!I60</f>
        <v/>
      </c>
      <c r="J60" s="13">
        <f>IF(I60&gt;=0.995,"закрыто",IF(AND(E60&lt;&gt;"",E60&lt;TODAY()),"агросрок истёк, не закрыто",IF(F60="","не начинали","в работе")))</f>
        <v/>
      </c>
    </row>
    <row r="61">
      <c r="A61" s="13" t="inlineStr">
        <is>
          <t>Культивация№3</t>
        </is>
      </c>
      <c r="B61" s="13" t="inlineStr">
        <is>
          <t>Подсолнечник гибридный</t>
        </is>
      </c>
      <c r="C61" s="13" t="inlineStr">
        <is>
          <t>ГРК</t>
        </is>
      </c>
      <c r="D61" s="13" t="n"/>
      <c r="E61" s="13" t="n"/>
      <c r="F61" s="17" t="n">
        <v>46165</v>
      </c>
      <c r="G61" s="13" t="n"/>
      <c r="H61" s="18">
        <f>IF(AND(D61&lt;&gt;"",F61&lt;&gt;""),F61-D61,"")</f>
        <v/>
      </c>
      <c r="I61" s="19">
        <f>Данные!I61</f>
        <v/>
      </c>
      <c r="J61" s="13">
        <f>IF(I61&gt;=0.995,"закрыто",IF(AND(E61&lt;&gt;"",E61&lt;TODAY()),"агросрок истёк, не закрыто",IF(F61="","не начинали","в работе")))</f>
        <v/>
      </c>
    </row>
    <row r="62">
      <c r="A62" s="13" t="inlineStr">
        <is>
          <t>Глубокое рыхление 40-45</t>
        </is>
      </c>
      <c r="B62" s="13" t="inlineStr">
        <is>
          <t>Подсолнечник гибридный</t>
        </is>
      </c>
      <c r="C62" s="13" t="inlineStr">
        <is>
          <t>ГРК</t>
        </is>
      </c>
      <c r="D62" s="17" t="n">
        <v>46045</v>
      </c>
      <c r="E62" s="17" t="n">
        <v>46073</v>
      </c>
      <c r="F62" s="17" t="n">
        <v>46045</v>
      </c>
      <c r="G62" s="13" t="n"/>
      <c r="H62" s="18">
        <f>IF(AND(D62&lt;&gt;"",F62&lt;&gt;""),F62-D62,"")</f>
        <v/>
      </c>
      <c r="I62" s="19">
        <f>Данные!I62</f>
        <v/>
      </c>
      <c r="J62" s="13">
        <f>IF(I62&gt;=0.995,"закрыто",IF(AND(E62&lt;&gt;"",E62&lt;TODAY()),"агросрок истёк, не закрыто",IF(F62="","не начинали","в работе")))</f>
        <v/>
      </c>
    </row>
  </sheetData>
  <autoFilter ref="A4:J62"/>
  <mergeCells count="2">
    <mergeCell ref="A1:J1"/>
    <mergeCell ref="A2:J2"/>
  </mergeCells>
  <conditionalFormatting sqref="H5:H62">
    <cfRule type="cellIs" priority="1" operator="greaterThan" dxfId="2">
      <formula>0</formula>
    </cfRule>
  </conditionalFormatting>
  <conditionalFormatting sqref="I5:I62">
    <cfRule type="dataBar" priority="2">
      <dataBar showValue="1">
        <cfvo type="num" val="0"/>
        <cfvo type="num" val="1"/>
        <color rgb="002E6B41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26" customWidth="1" min="4" max="4"/>
    <col width="16" customWidth="1" min="5" max="5"/>
    <col width="11" customWidth="1" min="6" max="6"/>
    <col width="11" customWidth="1" min="7" max="7"/>
    <col width="11" customWidth="1" min="8" max="8"/>
    <col width="12" customWidth="1" min="9" max="9"/>
    <col width="13" customWidth="1" min="10" max="10"/>
    <col width="14" customWidth="1" min="11" max="11"/>
    <col width="13" customWidth="1" min="12" max="12"/>
    <col width="14" customWidth="1" min="13" max="13"/>
    <col width="11" customWidth="1" min="14" max="14"/>
  </cols>
  <sheetData>
    <row r="1" ht="22" customHeight="1">
      <c r="A1" s="1" t="inlineStr">
        <is>
          <t>ДАННЫЕ — плоская выгрузка «Общего свода»</t>
        </is>
      </c>
    </row>
    <row r="2">
      <c r="A2" s="2" t="inlineStr">
        <is>
          <t>Значения выгружены из свода. Столбцы H и I — формулы; остальное менять только в своде.</t>
        </is>
      </c>
    </row>
    <row r="4" ht="30" customHeight="1">
      <c r="A4" s="3" t="inlineStr">
        <is>
          <t>Раздел</t>
        </is>
      </c>
      <c r="B4" s="3" t="inlineStr">
        <is>
          <t>Вид работ</t>
        </is>
      </c>
      <c r="C4" s="3" t="inlineStr">
        <is>
          <t>Подоперация</t>
        </is>
      </c>
      <c r="D4" s="3" t="inlineStr">
        <is>
          <t>Культура</t>
        </is>
      </c>
      <c r="E4" s="3" t="inlineStr">
        <is>
          <t>Предприятие</t>
        </is>
      </c>
      <c r="F4" s="3" t="inlineStr">
        <is>
          <t>План, га</t>
        </is>
      </c>
      <c r="G4" s="3" t="inlineStr">
        <is>
          <t>Факт, га</t>
        </is>
      </c>
      <c r="H4" s="3" t="inlineStr">
        <is>
          <t>Остаток, га</t>
        </is>
      </c>
      <c r="I4" s="3" t="inlineStr">
        <is>
          <t>Выполнение, %</t>
        </is>
      </c>
      <c r="J4" s="3" t="inlineStr">
        <is>
          <t>Начало ПЛАН</t>
        </is>
      </c>
      <c r="K4" s="3" t="inlineStr">
        <is>
          <t>Окончание ПЛАН</t>
        </is>
      </c>
      <c r="L4" s="3" t="inlineStr">
        <is>
          <t>Начало ФАКТ</t>
        </is>
      </c>
      <c r="M4" s="3" t="inlineStr">
        <is>
          <t>Окончание ФАКТ</t>
        </is>
      </c>
      <c r="N4" s="3" t="inlineStr">
        <is>
          <t>Строка свода</t>
        </is>
      </c>
    </row>
    <row r="5">
      <c r="A5" s="13" t="inlineStr">
        <is>
          <t>ВЕСЕННЕ-ПОЛЕВЫЕ РАБОТЫ</t>
        </is>
      </c>
      <c r="B5" s="13" t="inlineStr">
        <is>
          <t>Хим обработка</t>
        </is>
      </c>
      <c r="C5" s="13" t="inlineStr">
        <is>
          <t>гербицидная</t>
        </is>
      </c>
      <c r="D5" s="13" t="inlineStr">
        <is>
          <t>Пшеница озимая</t>
        </is>
      </c>
      <c r="E5" s="13" t="inlineStr">
        <is>
          <t>ГРК</t>
        </is>
      </c>
      <c r="F5" s="20" t="n">
        <v>3798</v>
      </c>
      <c r="G5" s="20" t="n">
        <v>3776</v>
      </c>
      <c r="H5" s="20">
        <f>F5-G5</f>
        <v/>
      </c>
      <c r="I5" s="19">
        <f>IFERROR(G5/F5,"")</f>
        <v/>
      </c>
      <c r="J5" s="17" t="n"/>
      <c r="K5" s="17" t="n"/>
      <c r="L5" s="17" t="n">
        <v>46113</v>
      </c>
      <c r="M5" s="17" t="n">
        <v>46135</v>
      </c>
      <c r="N5" s="13" t="n">
        <v>25</v>
      </c>
    </row>
    <row r="6">
      <c r="A6" s="13" t="inlineStr">
        <is>
          <t>ВЕСЕННЕ-ПОЛЕВЫЕ РАБОТЫ</t>
        </is>
      </c>
      <c r="B6" s="13" t="inlineStr">
        <is>
          <t>Хим обработка</t>
        </is>
      </c>
      <c r="C6" s="13" t="inlineStr">
        <is>
          <t>фунгицидная (1 раз)</t>
        </is>
      </c>
      <c r="D6" s="13" t="inlineStr">
        <is>
          <t>Пшеница озимая</t>
        </is>
      </c>
      <c r="E6" s="13" t="inlineStr">
        <is>
          <t>ГРК</t>
        </is>
      </c>
      <c r="F6" s="20" t="n">
        <v>3798</v>
      </c>
      <c r="G6" s="20" t="n">
        <v>3724</v>
      </c>
      <c r="H6" s="20">
        <f>F6-G6</f>
        <v/>
      </c>
      <c r="I6" s="19">
        <f>IFERROR(G6/F6,"")</f>
        <v/>
      </c>
      <c r="J6" s="17" t="n"/>
      <c r="K6" s="17" t="n"/>
      <c r="L6" s="17" t="n">
        <v>46137</v>
      </c>
      <c r="M6" s="17" t="n">
        <v>46152</v>
      </c>
      <c r="N6" s="13" t="n">
        <v>26</v>
      </c>
    </row>
    <row r="7">
      <c r="A7" s="13" t="inlineStr">
        <is>
          <t>ВЕСЕННЕ-ПОЛЕВЫЕ РАБОТЫ</t>
        </is>
      </c>
      <c r="B7" s="13" t="inlineStr">
        <is>
          <t>Хим обработка</t>
        </is>
      </c>
      <c r="C7" s="13" t="inlineStr">
        <is>
          <t>Противозлаковая</t>
        </is>
      </c>
      <c r="D7" s="13" t="inlineStr">
        <is>
          <t>Пшеница озимая</t>
        </is>
      </c>
      <c r="E7" s="13" t="inlineStr">
        <is>
          <t>ГРК</t>
        </is>
      </c>
      <c r="F7" s="20" t="n">
        <v>239</v>
      </c>
      <c r="G7" s="20" t="n">
        <v>239</v>
      </c>
      <c r="H7" s="20">
        <f>F7-G7</f>
        <v/>
      </c>
      <c r="I7" s="19">
        <f>IFERROR(G7/F7,"")</f>
        <v/>
      </c>
      <c r="J7" s="17" t="n"/>
      <c r="K7" s="17" t="n"/>
      <c r="L7" s="17" t="n">
        <v>46128</v>
      </c>
      <c r="M7" s="17" t="n">
        <v>46129</v>
      </c>
      <c r="N7" s="13" t="n">
        <v>27</v>
      </c>
    </row>
    <row r="8">
      <c r="A8" s="13" t="inlineStr">
        <is>
          <t>ВЕСЕННЕ-ПОЛЕВЫЕ РАБОТЫ</t>
        </is>
      </c>
      <c r="B8" s="13" t="inlineStr">
        <is>
          <t>Хим обработка</t>
        </is>
      </c>
      <c r="C8" s="13" t="inlineStr">
        <is>
          <t>глифосатная</t>
        </is>
      </c>
      <c r="D8" s="13" t="inlineStr">
        <is>
          <t>Подсонечниик</t>
        </is>
      </c>
      <c r="E8" s="13" t="inlineStr">
        <is>
          <t>ГРК</t>
        </is>
      </c>
      <c r="F8" s="20" t="n">
        <v>461</v>
      </c>
      <c r="G8" s="20" t="n">
        <v>363</v>
      </c>
      <c r="H8" s="20">
        <f>F8-G8</f>
        <v/>
      </c>
      <c r="I8" s="19">
        <f>IFERROR(G8/F8,"")</f>
        <v/>
      </c>
      <c r="J8" s="17" t="n"/>
      <c r="K8" s="17" t="n"/>
      <c r="L8" s="17" t="n">
        <v>46117</v>
      </c>
      <c r="M8" s="17" t="n">
        <v>46130</v>
      </c>
      <c r="N8" s="13" t="n">
        <v>28</v>
      </c>
    </row>
    <row r="9">
      <c r="A9" s="13" t="inlineStr">
        <is>
          <t>ВЕСЕННЕ-ПОЛЕВЫЕ РАБОТЫ</t>
        </is>
      </c>
      <c r="B9" s="13" t="inlineStr">
        <is>
          <t>Хим обработка</t>
        </is>
      </c>
      <c r="C9" s="13" t="inlineStr"/>
      <c r="D9" s="13" t="inlineStr">
        <is>
          <t>Рапс озимый</t>
        </is>
      </c>
      <c r="E9" s="13" t="inlineStr">
        <is>
          <t>ГРК</t>
        </is>
      </c>
      <c r="F9" s="20" t="n">
        <v>251</v>
      </c>
      <c r="G9" s="20" t="n">
        <v>251</v>
      </c>
      <c r="H9" s="20">
        <f>F9-G9</f>
        <v/>
      </c>
      <c r="I9" s="19">
        <f>IFERROR(G9/F9,"")</f>
        <v/>
      </c>
      <c r="J9" s="17" t="n"/>
      <c r="K9" s="17" t="n"/>
      <c r="L9" s="17" t="n">
        <v>46110</v>
      </c>
      <c r="M9" s="17" t="n">
        <v>46113</v>
      </c>
      <c r="N9" s="13" t="n">
        <v>29</v>
      </c>
    </row>
    <row r="10">
      <c r="A10" s="13" t="inlineStr">
        <is>
          <t>ВЕСЕННЕ-ПОЛЕВЫЕ РАБОТЫ</t>
        </is>
      </c>
      <c r="B10" s="13" t="inlineStr">
        <is>
          <t>Хим обработка</t>
        </is>
      </c>
      <c r="C10" s="13" t="inlineStr">
        <is>
          <t>довсходовая глифосатная</t>
        </is>
      </c>
      <c r="D10" s="13" t="inlineStr">
        <is>
          <t>Горох овощной (богара)</t>
        </is>
      </c>
      <c r="E10" s="13" t="inlineStr">
        <is>
          <t>ГРК</t>
        </is>
      </c>
      <c r="F10" s="20" t="n">
        <v>778</v>
      </c>
      <c r="G10" s="20" t="n">
        <v>191</v>
      </c>
      <c r="H10" s="20">
        <f>F10-G10</f>
        <v/>
      </c>
      <c r="I10" s="19">
        <f>IFERROR(G10/F10,"")</f>
        <v/>
      </c>
      <c r="J10" s="17" t="n"/>
      <c r="K10" s="17" t="n"/>
      <c r="L10" s="17" t="n">
        <v>46117</v>
      </c>
      <c r="M10" s="17" t="n"/>
      <c r="N10" s="13" t="n">
        <v>30</v>
      </c>
    </row>
    <row r="11">
      <c r="A11" s="13" t="inlineStr">
        <is>
          <t>ВЕСЕННЕ-ПОЛЕВЫЕ РАБОТЫ</t>
        </is>
      </c>
      <c r="B11" s="13" t="inlineStr">
        <is>
          <t>Хим обработка</t>
        </is>
      </c>
      <c r="C11" s="13" t="inlineStr">
        <is>
          <t>По всходам гербицидом</t>
        </is>
      </c>
      <c r="D11" s="13" t="inlineStr">
        <is>
          <t>Горох овощной (полив)</t>
        </is>
      </c>
      <c r="E11" s="13" t="inlineStr">
        <is>
          <t>ГРК</t>
        </is>
      </c>
      <c r="F11" s="20" t="n">
        <v>420</v>
      </c>
      <c r="G11" s="20" t="n">
        <v>366</v>
      </c>
      <c r="H11" s="20">
        <f>F11-G11</f>
        <v/>
      </c>
      <c r="I11" s="19">
        <f>IFERROR(G11/F11,"")</f>
        <v/>
      </c>
      <c r="J11" s="17" t="n"/>
      <c r="K11" s="17" t="n"/>
      <c r="L11" s="17" t="n">
        <v>46135</v>
      </c>
      <c r="M11" s="17" t="n"/>
      <c r="N11" s="13" t="n">
        <v>31</v>
      </c>
    </row>
    <row r="12">
      <c r="A12" s="13" t="inlineStr">
        <is>
          <t>ВЕСЕННЕ-ПОЛЕВЫЕ РАБОТЫ</t>
        </is>
      </c>
      <c r="B12" s="13" t="inlineStr">
        <is>
          <t>Хим обработка</t>
        </is>
      </c>
      <c r="C12" s="13" t="inlineStr">
        <is>
          <t>фунгицидная (1 раз)</t>
        </is>
      </c>
      <c r="D12" s="13" t="inlineStr">
        <is>
          <t>Горох овощной (полив)</t>
        </is>
      </c>
      <c r="E12" s="13" t="inlineStr">
        <is>
          <t>ГРК</t>
        </is>
      </c>
      <c r="F12" s="20" t="n">
        <v>420</v>
      </c>
      <c r="G12" s="20" t="n">
        <v>153</v>
      </c>
      <c r="H12" s="20">
        <f>F12-G12</f>
        <v/>
      </c>
      <c r="I12" s="19">
        <f>IFERROR(G12/F12,"")</f>
        <v/>
      </c>
      <c r="J12" s="17" t="n"/>
      <c r="K12" s="17" t="n"/>
      <c r="L12" s="17" t="n">
        <v>46149</v>
      </c>
      <c r="M12" s="17" t="n"/>
      <c r="N12" s="13" t="n">
        <v>32</v>
      </c>
    </row>
    <row r="13">
      <c r="A13" s="13" t="inlineStr">
        <is>
          <t>ВЕСЕННЕ-ПОЛЕВЫЕ РАБОТЫ</t>
        </is>
      </c>
      <c r="B13" s="13" t="inlineStr">
        <is>
          <t>Хим обработка</t>
        </is>
      </c>
      <c r="C13" s="13" t="inlineStr">
        <is>
          <t>гербицидная</t>
        </is>
      </c>
      <c r="D13" s="13" t="inlineStr">
        <is>
          <t>Подсолнечник товарный</t>
        </is>
      </c>
      <c r="E13" s="13" t="inlineStr">
        <is>
          <t>ГРК</t>
        </is>
      </c>
      <c r="F13" s="20" t="n">
        <v>910</v>
      </c>
      <c r="G13" s="20" t="n">
        <v>910</v>
      </c>
      <c r="H13" s="20">
        <f>F13-G13</f>
        <v/>
      </c>
      <c r="I13" s="19">
        <f>IFERROR(G13/F13,"")</f>
        <v/>
      </c>
      <c r="J13" s="17" t="n"/>
      <c r="K13" s="17" t="n"/>
      <c r="L13" s="17" t="n">
        <v>46154</v>
      </c>
      <c r="M13" s="17" t="n">
        <v>46166</v>
      </c>
      <c r="N13" s="13" t="n">
        <v>33</v>
      </c>
    </row>
    <row r="14">
      <c r="A14" s="13" t="inlineStr">
        <is>
          <t>ВЕСЕННЕ-ПОЛЕВЫЕ РАБОТЫ</t>
        </is>
      </c>
      <c r="B14" s="13" t="inlineStr">
        <is>
          <t>Хим обработка</t>
        </is>
      </c>
      <c r="C14" s="13" t="inlineStr">
        <is>
          <t>гербицидная</t>
        </is>
      </c>
      <c r="D14" s="13" t="inlineStr">
        <is>
          <t>Кукуруза на зерно</t>
        </is>
      </c>
      <c r="E14" s="13" t="inlineStr">
        <is>
          <t>ГРК</t>
        </is>
      </c>
      <c r="F14" s="20" t="n">
        <v>237</v>
      </c>
      <c r="G14" s="20" t="n">
        <v>237</v>
      </c>
      <c r="H14" s="20">
        <f>F14-G14</f>
        <v/>
      </c>
      <c r="I14" s="19">
        <f>IFERROR(G14/F14,"")</f>
        <v/>
      </c>
      <c r="J14" s="17" t="n"/>
      <c r="K14" s="17" t="n"/>
      <c r="L14" s="17" t="n">
        <v>46164</v>
      </c>
      <c r="M14" s="17" t="n">
        <v>46165</v>
      </c>
      <c r="N14" s="13" t="n">
        <v>34</v>
      </c>
    </row>
    <row r="15">
      <c r="A15" s="13" t="inlineStr">
        <is>
          <t>ВЕСЕННЕ-ПОЛЕВЫЕ РАБОТЫ</t>
        </is>
      </c>
      <c r="B15" s="13" t="inlineStr">
        <is>
          <t>Хим обработка</t>
        </is>
      </c>
      <c r="C15" s="13" t="inlineStr">
        <is>
          <t>фунгицидная (1 раз)</t>
        </is>
      </c>
      <c r="D15" s="13" t="inlineStr">
        <is>
          <t>Горох овощной (богара)</t>
        </is>
      </c>
      <c r="E15" s="13" t="inlineStr">
        <is>
          <t>ГРК</t>
        </is>
      </c>
      <c r="F15" s="20" t="n">
        <v>778</v>
      </c>
      <c r="G15" s="20" t="n">
        <v>778</v>
      </c>
      <c r="H15" s="20">
        <f>F15-G15</f>
        <v/>
      </c>
      <c r="I15" s="19">
        <f>IFERROR(G15/F15,"")</f>
        <v/>
      </c>
      <c r="J15" s="17" t="n"/>
      <c r="K15" s="17" t="n"/>
      <c r="L15" s="17" t="n">
        <v>46133</v>
      </c>
      <c r="M15" s="17" t="n">
        <v>46166</v>
      </c>
      <c r="N15" s="13" t="n">
        <v>35</v>
      </c>
    </row>
    <row r="16">
      <c r="A16" s="13" t="inlineStr">
        <is>
          <t>ВЕСЕННЕ-ПОЛЕВЫЕ РАБОТЫ</t>
        </is>
      </c>
      <c r="B16" s="13" t="inlineStr">
        <is>
          <t>Хим обработка</t>
        </is>
      </c>
      <c r="C16" s="13" t="inlineStr">
        <is>
          <t>Листовая</t>
        </is>
      </c>
      <c r="D16" s="13" t="inlineStr">
        <is>
          <t>Горох овощной (полив)</t>
        </is>
      </c>
      <c r="E16" s="13" t="inlineStr">
        <is>
          <t>ГРК</t>
        </is>
      </c>
      <c r="F16" s="20" t="n">
        <v>420</v>
      </c>
      <c r="G16" s="20" t="n">
        <v>93</v>
      </c>
      <c r="H16" s="20">
        <f>F16-G16</f>
        <v/>
      </c>
      <c r="I16" s="19">
        <f>IFERROR(G16/F16,"")</f>
        <v/>
      </c>
      <c r="J16" s="17" t="n"/>
      <c r="K16" s="17" t="n"/>
      <c r="L16" s="17" t="n">
        <v>46165</v>
      </c>
      <c r="M16" s="17" t="n"/>
      <c r="N16" s="13" t="n">
        <v>36</v>
      </c>
    </row>
    <row r="17">
      <c r="A17" s="13" t="inlineStr">
        <is>
          <t>ВЕСЕННЕ-ПОЛЕВЫЕ РАБОТЫ</t>
        </is>
      </c>
      <c r="B17" s="13" t="inlineStr">
        <is>
          <t>Хим обработка</t>
        </is>
      </c>
      <c r="C17" s="13" t="inlineStr">
        <is>
          <t>Гербицидная</t>
        </is>
      </c>
      <c r="D17" s="13" t="inlineStr">
        <is>
          <t>Кукуруза супер.сладкая(полив)</t>
        </is>
      </c>
      <c r="E17" s="13" t="inlineStr">
        <is>
          <t>ГРК</t>
        </is>
      </c>
      <c r="F17" s="20" t="n">
        <v>117</v>
      </c>
      <c r="G17" s="20" t="n">
        <v>117</v>
      </c>
      <c r="H17" s="20">
        <f>F17-G17</f>
        <v/>
      </c>
      <c r="I17" s="19">
        <f>IFERROR(G17/F17,"")</f>
        <v/>
      </c>
      <c r="J17" s="17" t="n"/>
      <c r="K17" s="17" t="n"/>
      <c r="L17" s="17" t="n">
        <v>46166</v>
      </c>
      <c r="M17" s="17" t="n">
        <v>46166</v>
      </c>
      <c r="N17" s="13" t="n">
        <v>37</v>
      </c>
    </row>
    <row r="18">
      <c r="A18" s="13" t="inlineStr">
        <is>
          <t>ВЕСЕННЕ-ПОЛЕВЫЕ РАБОТЫ</t>
        </is>
      </c>
      <c r="B18" s="13" t="inlineStr">
        <is>
          <t>Хим обработка №2</t>
        </is>
      </c>
      <c r="C18" s="13" t="inlineStr">
        <is>
          <t>инсектицидная-фунгицидная (1 раз)</t>
        </is>
      </c>
      <c r="D18" s="13" t="inlineStr">
        <is>
          <t>Рапс озимый</t>
        </is>
      </c>
      <c r="E18" s="13" t="inlineStr">
        <is>
          <t>ГРК</t>
        </is>
      </c>
      <c r="F18" s="20" t="n">
        <v>251</v>
      </c>
      <c r="G18" s="20" t="n">
        <v>251</v>
      </c>
      <c r="H18" s="20">
        <f>F18-G18</f>
        <v/>
      </c>
      <c r="I18" s="19">
        <f>IFERROR(G18/F18,"")</f>
        <v/>
      </c>
      <c r="J18" s="17" t="n"/>
      <c r="K18" s="17" t="n"/>
      <c r="L18" s="17" t="n">
        <v>46113</v>
      </c>
      <c r="M18" s="17" t="n">
        <v>46114</v>
      </c>
      <c r="N18" s="13" t="n">
        <v>39</v>
      </c>
    </row>
    <row r="19">
      <c r="A19" s="13" t="inlineStr">
        <is>
          <t>ВЕСЕННЕ-ПОЛЕВЫЕ РАБОТЫ</t>
        </is>
      </c>
      <c r="B19" s="13" t="inlineStr">
        <is>
          <t>Хим обработка №2</t>
        </is>
      </c>
      <c r="C19" s="13" t="inlineStr">
        <is>
          <t>инсектицидная-фунгицидная (2 раз)</t>
        </is>
      </c>
      <c r="D19" s="13" t="inlineStr">
        <is>
          <t>Рапс озимый</t>
        </is>
      </c>
      <c r="E19" s="13" t="inlineStr">
        <is>
          <t>ГРК</t>
        </is>
      </c>
      <c r="F19" s="20" t="n">
        <v>251</v>
      </c>
      <c r="G19" s="20" t="n">
        <v>251</v>
      </c>
      <c r="H19" s="20">
        <f>F19-G19</f>
        <v/>
      </c>
      <c r="I19" s="19">
        <f>IFERROR(G19/F19,"")</f>
        <v/>
      </c>
      <c r="J19" s="17" t="n"/>
      <c r="K19" s="17" t="n"/>
      <c r="L19" s="17" t="n">
        <v>46129</v>
      </c>
      <c r="M19" s="17" t="n">
        <v>46132</v>
      </c>
      <c r="N19" s="13" t="n">
        <v>40</v>
      </c>
    </row>
    <row r="20">
      <c r="A20" s="13" t="inlineStr">
        <is>
          <t>ВЕСЕННЕ-ПОЛЕВЫЕ РАБОТЫ</t>
        </is>
      </c>
      <c r="B20" s="13" t="inlineStr">
        <is>
          <t>Хим обработка №2</t>
        </is>
      </c>
      <c r="C20" s="13" t="inlineStr">
        <is>
          <t>инскктицидно-фунгицидная</t>
        </is>
      </c>
      <c r="D20" s="13" t="inlineStr">
        <is>
          <t>Пшеница озимая</t>
        </is>
      </c>
      <c r="E20" s="13" t="inlineStr">
        <is>
          <t>ГРК</t>
        </is>
      </c>
      <c r="F20" s="20" t="n">
        <v>3798</v>
      </c>
      <c r="G20" s="20" t="n">
        <v>2433</v>
      </c>
      <c r="H20" s="20">
        <f>F20-G20</f>
        <v/>
      </c>
      <c r="I20" s="19">
        <f>IFERROR(G20/F20,"")</f>
        <v/>
      </c>
      <c r="J20" s="17" t="n"/>
      <c r="K20" s="17" t="n"/>
      <c r="L20" s="17" t="n">
        <v>46137</v>
      </c>
      <c r="M20" s="17" t="n"/>
      <c r="N20" s="13" t="n">
        <v>41</v>
      </c>
    </row>
    <row r="21">
      <c r="A21" s="13" t="inlineStr">
        <is>
          <t>ВЕСЕННЕ-ПОЛЕВЫЕ РАБОТЫ</t>
        </is>
      </c>
      <c r="B21" s="13" t="inlineStr">
        <is>
          <t>Хим обработка №2</t>
        </is>
      </c>
      <c r="C21" s="13" t="inlineStr">
        <is>
          <t>По всходам гербицидом (2 раз)</t>
        </is>
      </c>
      <c r="D21" s="13" t="inlineStr">
        <is>
          <t>Горох овощной (богара)</t>
        </is>
      </c>
      <c r="E21" s="13" t="inlineStr">
        <is>
          <t>ГРК</t>
        </is>
      </c>
      <c r="F21" s="20" t="n">
        <v>778</v>
      </c>
      <c r="G21" s="20" t="n">
        <v>108</v>
      </c>
      <c r="H21" s="20">
        <f>F21-G21</f>
        <v/>
      </c>
      <c r="I21" s="19">
        <f>IFERROR(G21/F21,"")</f>
        <v/>
      </c>
      <c r="J21" s="17" t="n"/>
      <c r="K21" s="17" t="n"/>
      <c r="L21" s="17" t="n">
        <v>46149</v>
      </c>
      <c r="M21" s="17" t="n"/>
      <c r="N21" s="13" t="n">
        <v>42</v>
      </c>
    </row>
    <row r="22">
      <c r="A22" s="13" t="inlineStr">
        <is>
          <t>ВЕСЕННЕ-ПОЛЕВЫЕ РАБОТЫ</t>
        </is>
      </c>
      <c r="B22" s="13" t="inlineStr">
        <is>
          <t>Хим обработка №2</t>
        </is>
      </c>
      <c r="C22" s="13" t="inlineStr">
        <is>
          <t>фунгицидная (2 раз)</t>
        </is>
      </c>
      <c r="D22" s="13" t="inlineStr">
        <is>
          <t>Горох овощной (богара)</t>
        </is>
      </c>
      <c r="E22" s="13" t="inlineStr">
        <is>
          <t>ГРК</t>
        </is>
      </c>
      <c r="F22" s="20" t="n">
        <v>778</v>
      </c>
      <c r="G22" s="20" t="n">
        <v>657</v>
      </c>
      <c r="H22" s="20">
        <f>F22-G22</f>
        <v/>
      </c>
      <c r="I22" s="19">
        <f>IFERROR(G22/F22,"")</f>
        <v/>
      </c>
      <c r="J22" s="17" t="n"/>
      <c r="K22" s="17" t="n"/>
      <c r="L22" s="17" t="n">
        <v>46142</v>
      </c>
      <c r="M22" s="17" t="n"/>
      <c r="N22" s="13" t="n">
        <v>43</v>
      </c>
    </row>
    <row r="23">
      <c r="A23" s="13" t="inlineStr">
        <is>
          <t>ВЕСЕННЕ-ПОЛЕВЫЕ РАБОТЫ</t>
        </is>
      </c>
      <c r="B23" s="13" t="inlineStr">
        <is>
          <t>Хим обработка №2</t>
        </is>
      </c>
      <c r="C23" s="13" t="inlineStr">
        <is>
          <t>фунгицидная (2 раз)</t>
        </is>
      </c>
      <c r="D23" s="13" t="inlineStr">
        <is>
          <t>Горох овощной (полив)</t>
        </is>
      </c>
      <c r="E23" s="13" t="inlineStr">
        <is>
          <t>ГРК</t>
        </is>
      </c>
      <c r="F23" s="20" t="n">
        <v>420</v>
      </c>
      <c r="G23" s="20" t="n">
        <v>20</v>
      </c>
      <c r="H23" s="20">
        <f>F23-G23</f>
        <v/>
      </c>
      <c r="I23" s="19">
        <f>IFERROR(G23/F23,"")</f>
        <v/>
      </c>
      <c r="J23" s="17" t="n"/>
      <c r="K23" s="17" t="n"/>
      <c r="L23" s="17" t="n">
        <v>46164</v>
      </c>
      <c r="M23" s="17" t="n"/>
      <c r="N23" s="13" t="n">
        <v>44</v>
      </c>
    </row>
    <row r="24">
      <c r="A24" s="13" t="inlineStr">
        <is>
          <t>ВЕСЕННЕ-ПОЛЕВЫЕ РАБОТЫ</t>
        </is>
      </c>
      <c r="B24" s="13" t="inlineStr">
        <is>
          <t>Внесение мин.удобрений №1</t>
        </is>
      </c>
      <c r="C24" s="13" t="inlineStr">
        <is>
          <t>Селитра аммиачная</t>
        </is>
      </c>
      <c r="D24" s="13" t="inlineStr">
        <is>
          <t>Пшеница озимая</t>
        </is>
      </c>
      <c r="E24" s="13" t="inlineStr">
        <is>
          <t>ГРК</t>
        </is>
      </c>
      <c r="F24" s="20" t="n">
        <v>3798</v>
      </c>
      <c r="G24" s="20" t="n">
        <v>3798</v>
      </c>
      <c r="H24" s="20">
        <f>F24-G24</f>
        <v/>
      </c>
      <c r="I24" s="19">
        <f>IFERROR(G24/F24,"")</f>
        <v/>
      </c>
      <c r="J24" s="17" t="n">
        <v>46080</v>
      </c>
      <c r="K24" s="17" t="n">
        <v>46084</v>
      </c>
      <c r="L24" s="17" t="n">
        <v>46080</v>
      </c>
      <c r="M24" s="17" t="n">
        <v>46084</v>
      </c>
      <c r="N24" s="13" t="n">
        <v>18</v>
      </c>
    </row>
    <row r="25">
      <c r="A25" s="13" t="inlineStr">
        <is>
          <t>ВЕСЕННЕ-ПОЛЕВЫЕ РАБОТЫ</t>
        </is>
      </c>
      <c r="B25" s="13" t="inlineStr">
        <is>
          <t>Внесение мин.удобрений №1</t>
        </is>
      </c>
      <c r="C25" s="13" t="inlineStr">
        <is>
          <t>Листовая</t>
        </is>
      </c>
      <c r="D25" s="13" t="inlineStr">
        <is>
          <t>Горох овощной (богара)</t>
        </is>
      </c>
      <c r="E25" s="13" t="inlineStr">
        <is>
          <t>ГРК</t>
        </is>
      </c>
      <c r="F25" s="20" t="n">
        <v>778</v>
      </c>
      <c r="G25" s="20" t="n">
        <v>289</v>
      </c>
      <c r="H25" s="20">
        <f>F25-G25</f>
        <v/>
      </c>
      <c r="I25" s="19">
        <f>IFERROR(G25/F25,"")</f>
        <v/>
      </c>
      <c r="J25" s="17" t="n"/>
      <c r="K25" s="17" t="n"/>
      <c r="L25" s="17" t="n">
        <v>46152</v>
      </c>
      <c r="M25" s="17" t="n"/>
      <c r="N25" s="13" t="n">
        <v>19</v>
      </c>
    </row>
    <row r="26">
      <c r="A26" s="13" t="inlineStr">
        <is>
          <t>ВЕСЕННЕ-ПОЛЕВЫЕ РАБОТЫ</t>
        </is>
      </c>
      <c r="B26" s="13" t="inlineStr">
        <is>
          <t>Внесение мин.удобрений №1</t>
        </is>
      </c>
      <c r="C26" s="13" t="inlineStr">
        <is>
          <t>Селитра аммиачная</t>
        </is>
      </c>
      <c r="D26" s="13" t="inlineStr">
        <is>
          <t>Рапс озимый</t>
        </is>
      </c>
      <c r="E26" s="13" t="inlineStr">
        <is>
          <t>ГРК</t>
        </is>
      </c>
      <c r="F26" s="20" t="n">
        <v>251</v>
      </c>
      <c r="G26" s="20" t="n">
        <v>251</v>
      </c>
      <c r="H26" s="20">
        <f>F26-G26</f>
        <v/>
      </c>
      <c r="I26" s="19">
        <f>IFERROR(G26/F26,"")</f>
        <v/>
      </c>
      <c r="J26" s="17" t="n">
        <v>46080</v>
      </c>
      <c r="K26" s="17" t="n">
        <v>46084</v>
      </c>
      <c r="L26" s="17" t="n">
        <v>46084</v>
      </c>
      <c r="M26" s="17" t="n">
        <v>46084</v>
      </c>
      <c r="N26" s="13" t="n">
        <v>20</v>
      </c>
    </row>
    <row r="27">
      <c r="A27" s="13" t="inlineStr">
        <is>
          <t>ВЕСЕННЕ-ПОЛЕВЫЕ РАБОТЫ</t>
        </is>
      </c>
      <c r="B27" s="13" t="inlineStr">
        <is>
          <t>Внесение мин.удобрений №2</t>
        </is>
      </c>
      <c r="C27" s="13" t="inlineStr">
        <is>
          <t>Селитра аммиачная</t>
        </is>
      </c>
      <c r="D27" s="13" t="inlineStr">
        <is>
          <t>Рапс озимый</t>
        </is>
      </c>
      <c r="E27" s="13" t="inlineStr">
        <is>
          <t>ГРК</t>
        </is>
      </c>
      <c r="F27" s="20" t="n">
        <v>251</v>
      </c>
      <c r="G27" s="20" t="n">
        <v>251</v>
      </c>
      <c r="H27" s="20">
        <f>F27-G27</f>
        <v/>
      </c>
      <c r="I27" s="19">
        <f>IFERROR(G27/F27,"")</f>
        <v/>
      </c>
      <c r="J27" s="17" t="n"/>
      <c r="K27" s="17" t="n"/>
      <c r="L27" s="17" t="n">
        <v>46111</v>
      </c>
      <c r="M27" s="17" t="n">
        <v>46111</v>
      </c>
      <c r="N27" s="13" t="n">
        <v>22</v>
      </c>
    </row>
    <row r="28">
      <c r="A28" s="13" t="inlineStr">
        <is>
          <t>ВЕСЕННЕ-ПОЛЕВЫЕ РАБОТЫ</t>
        </is>
      </c>
      <c r="B28" s="13" t="inlineStr">
        <is>
          <t>Внесение мин.удобрений №2</t>
        </is>
      </c>
      <c r="C28" s="13" t="inlineStr">
        <is>
          <t>Селитра аммиачная</t>
        </is>
      </c>
      <c r="D28" s="13" t="inlineStr">
        <is>
          <t>Пшеница озимая</t>
        </is>
      </c>
      <c r="E28" s="13" t="inlineStr">
        <is>
          <t>ГРК</t>
        </is>
      </c>
      <c r="F28" s="20" t="n">
        <v>3798</v>
      </c>
      <c r="G28" s="20" t="n">
        <v>3798</v>
      </c>
      <c r="H28" s="20">
        <f>F28-G28</f>
        <v/>
      </c>
      <c r="I28" s="19">
        <f>IFERROR(G28/F28,"")</f>
        <v/>
      </c>
      <c r="J28" s="17" t="n">
        <v>46104</v>
      </c>
      <c r="K28" s="17" t="n">
        <v>46110</v>
      </c>
      <c r="L28" s="17" t="n">
        <v>46104</v>
      </c>
      <c r="M28" s="17" t="n"/>
      <c r="N28" s="13" t="n">
        <v>23</v>
      </c>
    </row>
    <row r="29">
      <c r="A29" s="13" t="inlineStr">
        <is>
          <t>ВЕСЕННЕ-ПОЛЕВЫЕ РАБОТЫ</t>
        </is>
      </c>
      <c r="B29" s="13" t="inlineStr">
        <is>
          <t>Предпосевная культивация</t>
        </is>
      </c>
      <c r="C29" s="13" t="inlineStr"/>
      <c r="D29" s="13" t="inlineStr">
        <is>
          <t>Горох овощной (полив)</t>
        </is>
      </c>
      <c r="E29" s="13" t="inlineStr">
        <is>
          <t>ГРК</t>
        </is>
      </c>
      <c r="F29" s="20" t="n">
        <v>420</v>
      </c>
      <c r="G29" s="20" t="n">
        <v>307</v>
      </c>
      <c r="H29" s="20">
        <f>F29-G29</f>
        <v/>
      </c>
      <c r="I29" s="19">
        <f>IFERROR(G29/F29,"")</f>
        <v/>
      </c>
      <c r="J29" s="17" t="n">
        <v>46106</v>
      </c>
      <c r="K29" s="17" t="n">
        <v>46142</v>
      </c>
      <c r="L29" s="17" t="n">
        <v>46137</v>
      </c>
      <c r="M29" s="17" t="n"/>
      <c r="N29" s="13" t="n">
        <v>63</v>
      </c>
    </row>
    <row r="30">
      <c r="A30" s="13" t="inlineStr">
        <is>
          <t>ВЕСЕННЕ-ПОЛЕВЫЕ РАБОТЫ</t>
        </is>
      </c>
      <c r="B30" s="13" t="inlineStr">
        <is>
          <t>Предпосевная культивация</t>
        </is>
      </c>
      <c r="C30" s="13" t="inlineStr"/>
      <c r="D30" s="13" t="inlineStr">
        <is>
          <t>Подсолнечник гибридный</t>
        </is>
      </c>
      <c r="E30" s="13" t="inlineStr">
        <is>
          <t>ГРК</t>
        </is>
      </c>
      <c r="F30" s="20" t="n">
        <v>149</v>
      </c>
      <c r="G30" s="20" t="n">
        <v>103</v>
      </c>
      <c r="H30" s="20">
        <f>F30-G30</f>
        <v/>
      </c>
      <c r="I30" s="19">
        <f>IFERROR(G30/F30,"")</f>
        <v/>
      </c>
      <c r="J30" s="17" t="n"/>
      <c r="K30" s="17" t="n"/>
      <c r="L30" s="17" t="n">
        <v>46138</v>
      </c>
      <c r="M30" s="17" t="n"/>
      <c r="N30" s="13" t="n">
        <v>64</v>
      </c>
    </row>
    <row r="31">
      <c r="A31" s="13" t="inlineStr">
        <is>
          <t>ВЕСЕННЕ-ПОЛЕВЫЕ РАБОТЫ</t>
        </is>
      </c>
      <c r="B31" s="13" t="inlineStr">
        <is>
          <t>Предпосевная культивация</t>
        </is>
      </c>
      <c r="C31" s="13" t="inlineStr"/>
      <c r="D31" s="13" t="inlineStr">
        <is>
          <t>Горох овощной (богара)</t>
        </is>
      </c>
      <c r="E31" s="13" t="inlineStr">
        <is>
          <t>ГРК</t>
        </is>
      </c>
      <c r="F31" s="20" t="n">
        <v>336</v>
      </c>
      <c r="G31" s="20" t="n">
        <v>336</v>
      </c>
      <c r="H31" s="20">
        <f>F31-G31</f>
        <v/>
      </c>
      <c r="I31" s="19">
        <f>IFERROR(G31/F31,"")</f>
        <v/>
      </c>
      <c r="J31" s="17" t="n">
        <v>46026</v>
      </c>
      <c r="K31" s="17" t="n">
        <v>46101</v>
      </c>
      <c r="L31" s="17" t="n">
        <v>46085</v>
      </c>
      <c r="M31" s="17" t="n"/>
      <c r="N31" s="13" t="n">
        <v>65</v>
      </c>
    </row>
    <row r="32">
      <c r="A32" s="13" t="inlineStr">
        <is>
          <t>ВЕСЕННЕ-ПОЛЕВЫЕ РАБОТЫ</t>
        </is>
      </c>
      <c r="B32" s="13" t="inlineStr">
        <is>
          <t>Предпосевная культивация</t>
        </is>
      </c>
      <c r="C32" s="13" t="inlineStr"/>
      <c r="D32" s="13" t="inlineStr">
        <is>
          <t>Подсолнечник</t>
        </is>
      </c>
      <c r="E32" s="13" t="inlineStr">
        <is>
          <t>ГРК</t>
        </is>
      </c>
      <c r="F32" s="20" t="n">
        <v>486</v>
      </c>
      <c r="G32" s="20" t="n">
        <v>486</v>
      </c>
      <c r="H32" s="20">
        <f>F32-G32</f>
        <v/>
      </c>
      <c r="I32" s="19">
        <f>IFERROR(G32/F32,"")</f>
        <v/>
      </c>
      <c r="J32" s="17" t="n">
        <v>46113</v>
      </c>
      <c r="K32" s="17" t="n">
        <v>46122</v>
      </c>
      <c r="L32" s="17" t="n">
        <v>46114</v>
      </c>
      <c r="M32" s="17" t="n">
        <v>46119</v>
      </c>
      <c r="N32" s="13" t="n">
        <v>66</v>
      </c>
    </row>
    <row r="33">
      <c r="A33" s="13" t="inlineStr">
        <is>
          <t>ВЕСЕННЕ-ПОЛЕВЫЕ РАБОТЫ</t>
        </is>
      </c>
      <c r="B33" s="13" t="inlineStr">
        <is>
          <t>Предпосевная культивация</t>
        </is>
      </c>
      <c r="C33" s="13" t="inlineStr"/>
      <c r="D33" s="13" t="inlineStr">
        <is>
          <t>Кукуруза на зерно</t>
        </is>
      </c>
      <c r="E33" s="13" t="inlineStr">
        <is>
          <t>ГРК</t>
        </is>
      </c>
      <c r="F33" s="20" t="n">
        <v>237</v>
      </c>
      <c r="G33" s="20" t="n">
        <v>237</v>
      </c>
      <c r="H33" s="20">
        <f>F33-G33</f>
        <v/>
      </c>
      <c r="I33" s="19">
        <f>IFERROR(G33/F33,"")</f>
        <v/>
      </c>
      <c r="J33" s="17" t="n">
        <v>46122</v>
      </c>
      <c r="K33" s="17" t="n">
        <v>46127</v>
      </c>
      <c r="L33" s="17" t="n">
        <v>46130</v>
      </c>
      <c r="M33" s="17" t="n">
        <v>46130</v>
      </c>
      <c r="N33" s="13" t="n">
        <v>67</v>
      </c>
    </row>
    <row r="34">
      <c r="A34" s="13" t="inlineStr">
        <is>
          <t>ВЕСЕННЕ-ПОЛЕВЫЕ РАБОТЫ</t>
        </is>
      </c>
      <c r="B34" s="13" t="inlineStr">
        <is>
          <t>Предпосевная культивация</t>
        </is>
      </c>
      <c r="C34" s="13" t="inlineStr"/>
      <c r="D34" s="13" t="inlineStr">
        <is>
          <t>кукуруза супер сладкая</t>
        </is>
      </c>
      <c r="E34" s="13" t="inlineStr">
        <is>
          <t>ГРК</t>
        </is>
      </c>
      <c r="F34" s="20" t="n">
        <v>59</v>
      </c>
      <c r="G34" s="20" t="n">
        <v>59</v>
      </c>
      <c r="H34" s="20">
        <f>F34-G34</f>
        <v/>
      </c>
      <c r="I34" s="19">
        <f>IFERROR(G34/F34,"")</f>
        <v/>
      </c>
      <c r="J34" s="17" t="n"/>
      <c r="K34" s="17" t="n"/>
      <c r="L34" s="17" t="n">
        <v>46148</v>
      </c>
      <c r="M34" s="17" t="n"/>
      <c r="N34" s="13" t="n">
        <v>68</v>
      </c>
    </row>
    <row r="35">
      <c r="A35" s="13" t="inlineStr">
        <is>
          <t>ВЕСЕННЕ-ПОЛЕВЫЕ РАБОТЫ</t>
        </is>
      </c>
      <c r="B35" s="13" t="inlineStr">
        <is>
          <t>Предпосевная культивация</t>
        </is>
      </c>
      <c r="C35" s="13" t="inlineStr"/>
      <c r="D35" s="13" t="inlineStr">
        <is>
          <t>Подсолнечник товарный</t>
        </is>
      </c>
      <c r="E35" s="13" t="inlineStr">
        <is>
          <t>ГРК</t>
        </is>
      </c>
      <c r="F35" s="20" t="n">
        <v>547</v>
      </c>
      <c r="G35" s="20" t="n">
        <v>547</v>
      </c>
      <c r="H35" s="20">
        <f>F35-G35</f>
        <v/>
      </c>
      <c r="I35" s="19">
        <f>IFERROR(G35/F35,"")</f>
        <v/>
      </c>
      <c r="J35" s="17" t="n"/>
      <c r="K35" s="17" t="n"/>
      <c r="L35" s="17" t="n">
        <v>46117</v>
      </c>
      <c r="M35" s="17" t="n"/>
      <c r="N35" s="13" t="n">
        <v>69</v>
      </c>
    </row>
    <row r="36">
      <c r="A36" s="13" t="inlineStr">
        <is>
          <t>ВЕСЕННЕ-ПОЛЕВЫЕ РАБОТЫ</t>
        </is>
      </c>
      <c r="B36" s="13" t="inlineStr">
        <is>
          <t>Сев горошка</t>
        </is>
      </c>
      <c r="C36" s="13" t="inlineStr"/>
      <c r="D36" s="13" t="inlineStr">
        <is>
          <t>Горох овощной (богара)</t>
        </is>
      </c>
      <c r="E36" s="13" t="inlineStr">
        <is>
          <t>ГРК</t>
        </is>
      </c>
      <c r="F36" s="20" t="n">
        <v>778</v>
      </c>
      <c r="G36" s="20" t="n">
        <v>778</v>
      </c>
      <c r="H36" s="20">
        <f>F36-G36</f>
        <v/>
      </c>
      <c r="I36" s="19">
        <f>IFERROR(G36/F36,"")</f>
        <v/>
      </c>
      <c r="J36" s="17" t="n">
        <v>46082</v>
      </c>
      <c r="K36" s="17" t="n">
        <v>46116</v>
      </c>
      <c r="L36" s="17" t="n">
        <v>46082</v>
      </c>
      <c r="M36" s="17" t="n">
        <v>46146</v>
      </c>
      <c r="N36" s="13" t="n">
        <v>51</v>
      </c>
    </row>
    <row r="37">
      <c r="A37" s="13" t="inlineStr">
        <is>
          <t>ВЕСЕННЕ-ПОЛЕВЫЕ РАБОТЫ</t>
        </is>
      </c>
      <c r="B37" s="13" t="inlineStr">
        <is>
          <t>Сев горошка</t>
        </is>
      </c>
      <c r="C37" s="13" t="inlineStr"/>
      <c r="D37" s="13" t="inlineStr">
        <is>
          <t>Горох овощной (полив)</t>
        </is>
      </c>
      <c r="E37" s="13" t="inlineStr">
        <is>
          <t>ГРК</t>
        </is>
      </c>
      <c r="F37" s="20" t="n">
        <v>420</v>
      </c>
      <c r="G37" s="20" t="n">
        <v>420</v>
      </c>
      <c r="H37" s="20">
        <f>F37-G37</f>
        <v/>
      </c>
      <c r="I37" s="19">
        <f>IFERROR(G37/F37,"")</f>
        <v/>
      </c>
      <c r="J37" s="17" t="n">
        <v>46111</v>
      </c>
      <c r="K37" s="17" t="n">
        <v>46147</v>
      </c>
      <c r="L37" s="17" t="n">
        <v>46113</v>
      </c>
      <c r="M37" s="17" t="n">
        <v>46148</v>
      </c>
      <c r="N37" s="13" t="n">
        <v>52</v>
      </c>
    </row>
    <row r="38">
      <c r="A38" s="13" t="inlineStr">
        <is>
          <t>ВЕСЕННЕ-ПОЛЕВЫЕ РАБОТЫ</t>
        </is>
      </c>
      <c r="B38" s="13" t="inlineStr">
        <is>
          <t>Сев горошка</t>
        </is>
      </c>
      <c r="C38" s="13" t="inlineStr"/>
      <c r="D38" s="13" t="inlineStr">
        <is>
          <t>Горох овощной (полив)</t>
        </is>
      </c>
      <c r="E38" s="13" t="inlineStr">
        <is>
          <t>АгроЛидер</t>
        </is>
      </c>
      <c r="F38" s="20" t="n">
        <v>269</v>
      </c>
      <c r="G38" s="20" t="n">
        <v>269</v>
      </c>
      <c r="H38" s="20">
        <f>F38-G38</f>
        <v/>
      </c>
      <c r="I38" s="19">
        <f>IFERROR(G38/F38,"")</f>
        <v/>
      </c>
      <c r="J38" s="17" t="n">
        <v>46117</v>
      </c>
      <c r="K38" s="17" t="n">
        <v>46124</v>
      </c>
      <c r="L38" s="17" t="n">
        <v>46117</v>
      </c>
      <c r="M38" s="17" t="n">
        <v>46128</v>
      </c>
      <c r="N38" s="13" t="n">
        <v>53</v>
      </c>
    </row>
    <row r="39">
      <c r="A39" s="13" t="inlineStr">
        <is>
          <t>ВЕСЕННЕ-ПОЛЕВЫЕ РАБОТЫ</t>
        </is>
      </c>
      <c r="B39" s="13" t="inlineStr">
        <is>
          <t>Сев горошка</t>
        </is>
      </c>
      <c r="C39" s="13" t="inlineStr"/>
      <c r="D39" s="13" t="inlineStr">
        <is>
          <t>Горох овощной (полив)</t>
        </is>
      </c>
      <c r="E39" s="13" t="inlineStr">
        <is>
          <t>Колос</t>
        </is>
      </c>
      <c r="F39" s="20" t="n">
        <v>440.16</v>
      </c>
      <c r="G39" s="20" t="n">
        <v>440.1</v>
      </c>
      <c r="H39" s="20">
        <f>F39-G39</f>
        <v/>
      </c>
      <c r="I39" s="19">
        <f>IFERROR(G39/F39,"")</f>
        <v/>
      </c>
      <c r="J39" s="17" t="n">
        <v>46125</v>
      </c>
      <c r="K39" s="17" t="n">
        <v>46138</v>
      </c>
      <c r="L39" s="17" t="n">
        <v>46129</v>
      </c>
      <c r="M39" s="17" t="n">
        <v>46141</v>
      </c>
      <c r="N39" s="13" t="n">
        <v>54</v>
      </c>
    </row>
    <row r="40">
      <c r="A40" s="13" t="inlineStr">
        <is>
          <t>ВЕСЕННЕ-ПОЛЕВЫЕ РАБОТЫ</t>
        </is>
      </c>
      <c r="B40" s="13" t="inlineStr">
        <is>
          <t>Сев зерновых</t>
        </is>
      </c>
      <c r="C40" s="13" t="inlineStr"/>
      <c r="D40" s="13" t="inlineStr">
        <is>
          <t>Подсолнечник товарный</t>
        </is>
      </c>
      <c r="E40" s="13" t="inlineStr">
        <is>
          <t>ГРК</t>
        </is>
      </c>
      <c r="F40" s="20" t="n">
        <v>910</v>
      </c>
      <c r="G40" s="20" t="n">
        <v>910</v>
      </c>
      <c r="H40" s="20">
        <f>F40-G40</f>
        <v/>
      </c>
      <c r="I40" s="19">
        <f>IFERROR(G40/F40,"")</f>
        <v/>
      </c>
      <c r="J40" s="17" t="n"/>
      <c r="K40" s="17" t="n"/>
      <c r="L40" s="17" t="n">
        <v>46117</v>
      </c>
      <c r="M40" s="17" t="n">
        <v>46131</v>
      </c>
      <c r="N40" s="13" t="n">
        <v>56</v>
      </c>
    </row>
    <row r="41">
      <c r="A41" s="13" t="inlineStr">
        <is>
          <t>ВЕСЕННЕ-ПОЛЕВЫЕ РАБОТЫ</t>
        </is>
      </c>
      <c r="B41" s="13" t="inlineStr">
        <is>
          <t>Сев зерновых</t>
        </is>
      </c>
      <c r="C41" s="13" t="inlineStr"/>
      <c r="D41" s="13" t="inlineStr">
        <is>
          <t>Кукуруза на зерно</t>
        </is>
      </c>
      <c r="E41" s="13" t="inlineStr">
        <is>
          <t>ГРК</t>
        </is>
      </c>
      <c r="F41" s="20" t="n">
        <v>237</v>
      </c>
      <c r="G41" s="20" t="n">
        <v>237</v>
      </c>
      <c r="H41" s="20">
        <f>F41-G41</f>
        <v/>
      </c>
      <c r="I41" s="19">
        <f>IFERROR(G41/F41,"")</f>
        <v/>
      </c>
      <c r="J41" s="17" t="n"/>
      <c r="K41" s="17" t="n"/>
      <c r="L41" s="17" t="n">
        <v>46130</v>
      </c>
      <c r="M41" s="17" t="n">
        <v>46132</v>
      </c>
      <c r="N41" s="13" t="n">
        <v>57</v>
      </c>
    </row>
    <row r="42">
      <c r="A42" s="13" t="inlineStr">
        <is>
          <t>ВЕСЕННЕ-ПОЛЕВЫЕ РАБОТЫ</t>
        </is>
      </c>
      <c r="B42" s="13" t="inlineStr">
        <is>
          <t>Сев зерновых</t>
        </is>
      </c>
      <c r="C42" s="13" t="inlineStr"/>
      <c r="D42" s="13" t="inlineStr">
        <is>
          <t>Подсолнечник гибридный</t>
        </is>
      </c>
      <c r="E42" s="13" t="inlineStr">
        <is>
          <t>ГРК</t>
        </is>
      </c>
      <c r="F42" s="20" t="n">
        <v>149</v>
      </c>
      <c r="G42" s="20" t="n">
        <v>84</v>
      </c>
      <c r="H42" s="20">
        <f>F42-G42</f>
        <v/>
      </c>
      <c r="I42" s="19">
        <f>IFERROR(G42/F42,"")</f>
        <v/>
      </c>
      <c r="J42" s="17" t="n"/>
      <c r="K42" s="17" t="n"/>
      <c r="L42" s="17" t="n">
        <v>46165</v>
      </c>
      <c r="M42" s="17" t="n"/>
      <c r="N42" s="13" t="n">
        <v>58</v>
      </c>
    </row>
    <row r="43">
      <c r="A43" s="13" t="inlineStr">
        <is>
          <t>ВЕСЕННЕ-ПОЛЕВЫЕ РАБОТЫ</t>
        </is>
      </c>
      <c r="B43" s="13" t="inlineStr">
        <is>
          <t>Культивация№1</t>
        </is>
      </c>
      <c r="C43" s="13" t="inlineStr"/>
      <c r="D43" s="13" t="inlineStr">
        <is>
          <t>Кукуруза (сладкая)</t>
        </is>
      </c>
      <c r="E43" s="13" t="inlineStr">
        <is>
          <t>ГРК</t>
        </is>
      </c>
      <c r="F43" s="20" t="n">
        <v>117</v>
      </c>
      <c r="G43" s="20" t="n">
        <v>117</v>
      </c>
      <c r="H43" s="20">
        <f>F43-G43</f>
        <v/>
      </c>
      <c r="I43" s="19">
        <f>IFERROR(G43/F43,"")</f>
        <v/>
      </c>
      <c r="J43" s="17" t="n"/>
      <c r="K43" s="17" t="n"/>
      <c r="L43" s="17" t="n">
        <v>46135</v>
      </c>
      <c r="M43" s="17" t="n">
        <v>46137</v>
      </c>
      <c r="N43" s="13" t="n">
        <v>71</v>
      </c>
    </row>
    <row r="44">
      <c r="A44" s="13" t="inlineStr">
        <is>
          <t>ВЕСЕННЕ-ПОЛЕВЫЕ РАБОТЫ</t>
        </is>
      </c>
      <c r="B44" s="13" t="inlineStr">
        <is>
          <t>Культивация№1</t>
        </is>
      </c>
      <c r="C44" s="13" t="inlineStr"/>
      <c r="D44" s="13" t="inlineStr">
        <is>
          <t>Горох овощной (полив)</t>
        </is>
      </c>
      <c r="E44" s="13" t="inlineStr">
        <is>
          <t>ГРК</t>
        </is>
      </c>
      <c r="F44" s="20" t="n">
        <v>420</v>
      </c>
      <c r="G44" s="20" t="n">
        <v>201</v>
      </c>
      <c r="H44" s="20">
        <f>F44-G44</f>
        <v/>
      </c>
      <c r="I44" s="19">
        <f>IFERROR(G44/F44,"")</f>
        <v/>
      </c>
      <c r="J44" s="17" t="n">
        <v>46027</v>
      </c>
      <c r="K44" s="17" t="n">
        <v>46101</v>
      </c>
      <c r="L44" s="17" t="n">
        <v>46086</v>
      </c>
      <c r="M44" s="17" t="n"/>
      <c r="N44" s="13" t="n">
        <v>72</v>
      </c>
    </row>
    <row r="45">
      <c r="A45" s="13" t="inlineStr">
        <is>
          <t>ВЕСЕННЕ-ПОЛЕВЫЕ РАБОТЫ</t>
        </is>
      </c>
      <c r="B45" s="13" t="inlineStr">
        <is>
          <t>Культивация№1</t>
        </is>
      </c>
      <c r="C45" s="13" t="inlineStr"/>
      <c r="D45" s="13" t="inlineStr">
        <is>
          <t>Подсолнечник гибридный</t>
        </is>
      </c>
      <c r="E45" s="13" t="inlineStr">
        <is>
          <t>ГРК</t>
        </is>
      </c>
      <c r="F45" s="20" t="n">
        <v>149</v>
      </c>
      <c r="G45" s="20" t="n">
        <v>149</v>
      </c>
      <c r="H45" s="20">
        <f>F45-G45</f>
        <v/>
      </c>
      <c r="I45" s="19">
        <f>IFERROR(G45/F45,"")</f>
        <v/>
      </c>
      <c r="J45" s="17" t="n">
        <v>46093</v>
      </c>
      <c r="K45" s="17" t="n">
        <v>46101</v>
      </c>
      <c r="L45" s="17" t="n">
        <v>46093</v>
      </c>
      <c r="M45" s="17" t="n">
        <v>46101</v>
      </c>
      <c r="N45" s="13" t="n">
        <v>73</v>
      </c>
    </row>
    <row r="46">
      <c r="A46" s="13" t="inlineStr">
        <is>
          <t>ВЕСЕННЕ-ПОЛЕВЫЕ РАБОТЫ</t>
        </is>
      </c>
      <c r="B46" s="13" t="inlineStr">
        <is>
          <t>Культивация№1</t>
        </is>
      </c>
      <c r="C46" s="13" t="inlineStr"/>
      <c r="D46" s="13" t="inlineStr">
        <is>
          <t>Кукуруза на зерно</t>
        </is>
      </c>
      <c r="E46" s="13" t="inlineStr">
        <is>
          <t>ГРК</t>
        </is>
      </c>
      <c r="F46" s="20" t="n">
        <v>284</v>
      </c>
      <c r="G46" s="20" t="n">
        <v>149</v>
      </c>
      <c r="H46" s="20">
        <f>F46-G46</f>
        <v/>
      </c>
      <c r="I46" s="19">
        <f>IFERROR(G46/F46,"")</f>
        <v/>
      </c>
      <c r="J46" s="17" t="n"/>
      <c r="K46" s="17" t="n"/>
      <c r="L46" s="17" t="n">
        <v>46094</v>
      </c>
      <c r="M46" s="17" t="n"/>
      <c r="N46" s="13" t="n">
        <v>74</v>
      </c>
    </row>
    <row r="47">
      <c r="A47" s="13" t="inlineStr">
        <is>
          <t>ВЕСЕННЕ-ПОЛЕВЫЕ РАБОТЫ</t>
        </is>
      </c>
      <c r="B47" s="13" t="inlineStr">
        <is>
          <t>Культивация№1</t>
        </is>
      </c>
      <c r="C47" s="13" t="inlineStr"/>
      <c r="D47" s="13" t="inlineStr">
        <is>
          <t>Подсолнечник</t>
        </is>
      </c>
      <c r="E47" s="13" t="inlineStr">
        <is>
          <t>ГРК</t>
        </is>
      </c>
      <c r="F47" s="20" t="n">
        <v>0</v>
      </c>
      <c r="G47" s="20" t="n">
        <v>109</v>
      </c>
      <c r="H47" s="20">
        <f>F47-G47</f>
        <v/>
      </c>
      <c r="I47" s="19">
        <f>IFERROR(G47/F47,"")</f>
        <v/>
      </c>
      <c r="J47" s="17" t="n"/>
      <c r="K47" s="17" t="n"/>
      <c r="L47" s="17" t="n">
        <v>46095</v>
      </c>
      <c r="M47" s="17" t="n"/>
      <c r="N47" s="13" t="n">
        <v>75</v>
      </c>
    </row>
    <row r="48">
      <c r="A48" s="13" t="inlineStr">
        <is>
          <t>ВЕСЕННЕ-ПОЛЕВЫЕ РАБОТЫ</t>
        </is>
      </c>
      <c r="B48" s="13" t="inlineStr">
        <is>
          <t>Культивация№111</t>
        </is>
      </c>
      <c r="C48" s="13" t="inlineStr"/>
      <c r="D48" s="13" t="inlineStr">
        <is>
          <t>Кукуруза (сладкая)</t>
        </is>
      </c>
      <c r="E48" s="13" t="inlineStr">
        <is>
          <t>ГРК</t>
        </is>
      </c>
      <c r="F48" s="20" t="n">
        <v>117</v>
      </c>
      <c r="G48" s="20" t="n">
        <v>117</v>
      </c>
      <c r="H48" s="20">
        <f>F48-G48</f>
        <v/>
      </c>
      <c r="I48" s="19">
        <f>IFERROR(G48/F48,"")</f>
        <v/>
      </c>
      <c r="J48" s="17" t="n"/>
      <c r="K48" s="17" t="n"/>
      <c r="L48" s="17" t="n">
        <v>46135</v>
      </c>
      <c r="M48" s="17" t="n">
        <v>46137</v>
      </c>
      <c r="N48" s="13" t="n">
        <v>84</v>
      </c>
    </row>
    <row r="49">
      <c r="A49" s="13" t="inlineStr">
        <is>
          <t>ВЕСЕННЕ-ПОЛЕВЫЕ РАБОТЫ</t>
        </is>
      </c>
      <c r="B49" s="13" t="inlineStr">
        <is>
          <t>Культивация№111</t>
        </is>
      </c>
      <c r="C49" s="13" t="inlineStr"/>
      <c r="D49" s="13" t="inlineStr">
        <is>
          <t>Горох овощной (полив)</t>
        </is>
      </c>
      <c r="E49" s="13" t="inlineStr">
        <is>
          <t>ГРК</t>
        </is>
      </c>
      <c r="F49" s="20" t="n">
        <v>420</v>
      </c>
      <c r="G49" s="20" t="n">
        <v>201</v>
      </c>
      <c r="H49" s="20">
        <f>F49-G49</f>
        <v/>
      </c>
      <c r="I49" s="19">
        <f>IFERROR(G49/F49,"")</f>
        <v/>
      </c>
      <c r="J49" s="17" t="n">
        <v>46027</v>
      </c>
      <c r="K49" s="17" t="n">
        <v>46101</v>
      </c>
      <c r="L49" s="17" t="n">
        <v>46086</v>
      </c>
      <c r="M49" s="17" t="n"/>
      <c r="N49" s="13" t="n">
        <v>85</v>
      </c>
    </row>
    <row r="50">
      <c r="A50" s="13" t="inlineStr">
        <is>
          <t>ВЕСЕННЕ-ПОЛЕВЫЕ РАБОТЫ</t>
        </is>
      </c>
      <c r="B50" s="13" t="inlineStr">
        <is>
          <t>Культивация№111</t>
        </is>
      </c>
      <c r="C50" s="13" t="inlineStr"/>
      <c r="D50" s="13" t="inlineStr">
        <is>
          <t>Подсолнечник гибридный</t>
        </is>
      </c>
      <c r="E50" s="13" t="inlineStr">
        <is>
          <t>ГРК</t>
        </is>
      </c>
      <c r="F50" s="20" t="n">
        <v>149</v>
      </c>
      <c r="G50" s="20" t="n">
        <v>149</v>
      </c>
      <c r="H50" s="20">
        <f>F50-G50</f>
        <v/>
      </c>
      <c r="I50" s="19">
        <f>IFERROR(G50/F50,"")</f>
        <v/>
      </c>
      <c r="J50" s="17" t="n">
        <v>46093</v>
      </c>
      <c r="K50" s="17" t="n">
        <v>46101</v>
      </c>
      <c r="L50" s="17" t="n">
        <v>46093</v>
      </c>
      <c r="M50" s="17" t="n">
        <v>46101</v>
      </c>
      <c r="N50" s="13" t="n">
        <v>86</v>
      </c>
    </row>
    <row r="51">
      <c r="A51" s="13" t="inlineStr">
        <is>
          <t>ВЕСЕННЕ-ПОЛЕВЫЕ РАБОТЫ</t>
        </is>
      </c>
      <c r="B51" s="13" t="inlineStr">
        <is>
          <t>Культивация№111</t>
        </is>
      </c>
      <c r="C51" s="13" t="inlineStr"/>
      <c r="D51" s="13" t="inlineStr">
        <is>
          <t>Кукуруза на зерно</t>
        </is>
      </c>
      <c r="E51" s="13" t="inlineStr">
        <is>
          <t>ГРК</t>
        </is>
      </c>
      <c r="F51" s="20" t="n">
        <v>284</v>
      </c>
      <c r="G51" s="20" t="n">
        <v>149</v>
      </c>
      <c r="H51" s="20">
        <f>F51-G51</f>
        <v/>
      </c>
      <c r="I51" s="19">
        <f>IFERROR(G51/F51,"")</f>
        <v/>
      </c>
      <c r="J51" s="17" t="n"/>
      <c r="K51" s="17" t="n"/>
      <c r="L51" s="17" t="n">
        <v>46094</v>
      </c>
      <c r="M51" s="17" t="n"/>
      <c r="N51" s="13" t="n">
        <v>87</v>
      </c>
    </row>
    <row r="52">
      <c r="A52" s="13" t="inlineStr">
        <is>
          <t>ВЕСЕННЕ-ПОЛЕВЫЕ РАБОТЫ</t>
        </is>
      </c>
      <c r="B52" s="13" t="inlineStr">
        <is>
          <t>Культивация№111</t>
        </is>
      </c>
      <c r="C52" s="13" t="inlineStr"/>
      <c r="D52" s="13" t="inlineStr">
        <is>
          <t>Подсолнечник</t>
        </is>
      </c>
      <c r="E52" s="13" t="inlineStr">
        <is>
          <t>ГРК</t>
        </is>
      </c>
      <c r="F52" s="20" t="n">
        <v>0</v>
      </c>
      <c r="G52" s="20" t="n">
        <v>109</v>
      </c>
      <c r="H52" s="20">
        <f>F52-G52</f>
        <v/>
      </c>
      <c r="I52" s="19">
        <f>IFERROR(G52/F52,"")</f>
        <v/>
      </c>
      <c r="J52" s="17" t="n"/>
      <c r="K52" s="17" t="n"/>
      <c r="L52" s="17" t="n">
        <v>46095</v>
      </c>
      <c r="M52" s="17" t="n"/>
      <c r="N52" s="13" t="n">
        <v>88</v>
      </c>
    </row>
    <row r="53">
      <c r="A53" s="13" t="inlineStr">
        <is>
          <t>ВЕСЕННЕ-ПОЛЕВЫЕ РАБОТЫ</t>
        </is>
      </c>
      <c r="B53" s="13" t="inlineStr">
        <is>
          <t>СЕВ СЛАДКОЙ КУКУРУЗЫ</t>
        </is>
      </c>
      <c r="C53" s="13" t="inlineStr"/>
      <c r="D53" s="13" t="inlineStr">
        <is>
          <t>Кукуруза супер.сладкая(полив)</t>
        </is>
      </c>
      <c r="E53" s="13" t="inlineStr">
        <is>
          <t>ГРК</t>
        </is>
      </c>
      <c r="F53" s="20" t="n">
        <v>117</v>
      </c>
      <c r="G53" s="20" t="n">
        <v>117</v>
      </c>
      <c r="H53" s="20">
        <f>F53-G53</f>
        <v/>
      </c>
      <c r="I53" s="19">
        <f>IFERROR(G53/F53,"")</f>
        <v/>
      </c>
      <c r="J53" s="17" t="n"/>
      <c r="K53" s="17" t="n"/>
      <c r="L53" s="17" t="n">
        <v>46147</v>
      </c>
      <c r="M53" s="17" t="n"/>
      <c r="N53" s="13" t="n">
        <v>46</v>
      </c>
    </row>
    <row r="54">
      <c r="A54" s="13" t="inlineStr">
        <is>
          <t>ВЕСЕННЕ-ПОЛЕВЫЕ РАБОТЫ</t>
        </is>
      </c>
      <c r="B54" s="13" t="inlineStr">
        <is>
          <t>СЕВ СЛАДКОЙ КУКУРУЗЫ</t>
        </is>
      </c>
      <c r="C54" s="13" t="inlineStr"/>
      <c r="D54" s="13" t="inlineStr">
        <is>
          <t>Кукуруза сладкая</t>
        </is>
      </c>
      <c r="E54" s="13" t="inlineStr">
        <is>
          <t>Киров</t>
        </is>
      </c>
      <c r="F54" s="20" t="n">
        <v>297</v>
      </c>
      <c r="G54" s="20" t="n">
        <v>297</v>
      </c>
      <c r="H54" s="20">
        <f>F54-G54</f>
        <v/>
      </c>
      <c r="I54" s="19">
        <f>IFERROR(G54/F54,"")</f>
        <v/>
      </c>
      <c r="J54" s="17" t="n"/>
      <c r="K54" s="17" t="n"/>
      <c r="L54" s="17" t="n">
        <v>46150</v>
      </c>
      <c r="M54" s="17" t="n">
        <v>46165</v>
      </c>
      <c r="N54" s="13" t="n">
        <v>47</v>
      </c>
    </row>
    <row r="55">
      <c r="A55" s="13" t="inlineStr">
        <is>
          <t>ВЕСЕННЕ-ПОЛЕВЫЕ РАБОТЫ</t>
        </is>
      </c>
      <c r="B55" s="13" t="inlineStr">
        <is>
          <t>СЕВ СЛАДКОЙ КУКУРУЗЫ</t>
        </is>
      </c>
      <c r="C55" s="13" t="inlineStr"/>
      <c r="D55" s="13" t="inlineStr">
        <is>
          <t>Кукуруза суперсладкая</t>
        </is>
      </c>
      <c r="E55" s="13" t="inlineStr">
        <is>
          <t>Ипатовский(винодельнийский)</t>
        </is>
      </c>
      <c r="F55" s="20" t="n">
        <v>452</v>
      </c>
      <c r="G55" s="20" t="n">
        <v>0</v>
      </c>
      <c r="H55" s="20">
        <f>F55-G55</f>
        <v/>
      </c>
      <c r="I55" s="19">
        <f>IFERROR(G55/F55,"")</f>
        <v/>
      </c>
      <c r="J55" s="17" t="n"/>
      <c r="K55" s="17" t="n"/>
      <c r="L55" s="17" t="n"/>
      <c r="M55" s="17" t="n"/>
      <c r="N55" s="13" t="n">
        <v>48</v>
      </c>
    </row>
    <row r="56">
      <c r="A56" s="13" t="inlineStr">
        <is>
          <t>ВЕСЕННЕ-ПОЛЕВЫЕ РАБОТЫ</t>
        </is>
      </c>
      <c r="B56" s="13" t="inlineStr">
        <is>
          <t>СЕВ СЛАДКОЙ КУКУРУЗЫ</t>
        </is>
      </c>
      <c r="C56" s="13" t="inlineStr"/>
      <c r="D56" s="13" t="inlineStr">
        <is>
          <t>Кукуруза сахарная</t>
        </is>
      </c>
      <c r="E56" s="13" t="inlineStr">
        <is>
          <t>Ипатовский(винодельнийский)</t>
        </is>
      </c>
      <c r="F56" s="20" t="n">
        <v>91</v>
      </c>
      <c r="G56" s="20" t="n">
        <v>50</v>
      </c>
      <c r="H56" s="20">
        <f>F56-G56</f>
        <v/>
      </c>
      <c r="I56" s="19">
        <f>IFERROR(G56/F56,"")</f>
        <v/>
      </c>
      <c r="J56" s="17" t="n"/>
      <c r="K56" s="17" t="n"/>
      <c r="L56" s="17" t="n">
        <v>46166</v>
      </c>
      <c r="M56" s="17" t="n"/>
      <c r="N56" s="13" t="n">
        <v>49</v>
      </c>
    </row>
    <row r="57">
      <c r="A57" s="13" t="inlineStr">
        <is>
          <t>ВЕСЕННЕ-ПОЛЕВЫЕ РАБОТЫ</t>
        </is>
      </c>
      <c r="B57" s="13" t="inlineStr">
        <is>
          <t>Прикатывание до всходов</t>
        </is>
      </c>
      <c r="C57" s="13" t="inlineStr"/>
      <c r="D57" s="13" t="inlineStr">
        <is>
          <t>Горох овощной (богара)</t>
        </is>
      </c>
      <c r="E57" s="13" t="inlineStr">
        <is>
          <t>ГРК</t>
        </is>
      </c>
      <c r="F57" s="20" t="n">
        <v>778</v>
      </c>
      <c r="G57" s="20" t="n">
        <v>111</v>
      </c>
      <c r="H57" s="20">
        <f>F57-G57</f>
        <v/>
      </c>
      <c r="I57" s="19">
        <f>IFERROR(G57/F57,"")</f>
        <v/>
      </c>
      <c r="J57" s="17" t="n">
        <v>46084</v>
      </c>
      <c r="K57" s="17" t="n">
        <v>46104</v>
      </c>
      <c r="L57" s="17" t="n">
        <v>46084</v>
      </c>
      <c r="M57" s="17" t="n"/>
      <c r="N57" s="13" t="n">
        <v>60</v>
      </c>
    </row>
    <row r="58">
      <c r="A58" s="13" t="inlineStr">
        <is>
          <t>ВЕСЕННЕ-ПОЛЕВЫЕ РАБОТЫ</t>
        </is>
      </c>
      <c r="B58" s="13" t="inlineStr">
        <is>
          <t>Культивация№2</t>
        </is>
      </c>
      <c r="C58" s="13" t="inlineStr"/>
      <c r="D58" s="13" t="inlineStr">
        <is>
          <t>Подсолнечник гибридный</t>
        </is>
      </c>
      <c r="E58" s="13" t="inlineStr">
        <is>
          <t>ГРК</t>
        </is>
      </c>
      <c r="F58" s="20" t="n">
        <v>149</v>
      </c>
      <c r="G58" s="20" t="n">
        <v>149</v>
      </c>
      <c r="H58" s="20">
        <f>F58-G58</f>
        <v/>
      </c>
      <c r="I58" s="19">
        <f>IFERROR(G58/F58,"")</f>
        <v/>
      </c>
      <c r="J58" s="17" t="n"/>
      <c r="K58" s="17" t="n"/>
      <c r="L58" s="17" t="n">
        <v>46105</v>
      </c>
      <c r="M58" s="17" t="n">
        <v>46111</v>
      </c>
      <c r="N58" s="13" t="n">
        <v>77</v>
      </c>
    </row>
    <row r="59">
      <c r="A59" s="13" t="inlineStr">
        <is>
          <t>ВЕСЕННЕ-ПОЛЕВЫЕ РАБОТЫ</t>
        </is>
      </c>
      <c r="B59" s="13" t="inlineStr">
        <is>
          <t>Культивация№2</t>
        </is>
      </c>
      <c r="C59" s="13" t="inlineStr"/>
      <c r="D59" s="13" t="inlineStr">
        <is>
          <t>Горох овощной (полив)</t>
        </is>
      </c>
      <c r="E59" s="13" t="inlineStr">
        <is>
          <t>ГРК</t>
        </is>
      </c>
      <c r="F59" s="20" t="n">
        <v>420</v>
      </c>
      <c r="G59" s="20" t="n">
        <v>54</v>
      </c>
      <c r="H59" s="20">
        <f>F59-G59</f>
        <v/>
      </c>
      <c r="I59" s="19">
        <f>IFERROR(G59/F59,"")</f>
        <v/>
      </c>
      <c r="J59" s="17" t="n"/>
      <c r="K59" s="17" t="n"/>
      <c r="L59" s="17" t="n">
        <v>46144</v>
      </c>
      <c r="M59" s="17" t="n"/>
      <c r="N59" s="13" t="n">
        <v>78</v>
      </c>
    </row>
    <row r="60">
      <c r="A60" s="13" t="inlineStr">
        <is>
          <t>ВЕСЕННЕ-ПОЛЕВЫЕ РАБОТЫ</t>
        </is>
      </c>
      <c r="B60" s="13" t="inlineStr">
        <is>
          <t>Культивация№3</t>
        </is>
      </c>
      <c r="C60" s="13" t="inlineStr"/>
      <c r="D60" s="13" t="inlineStr">
        <is>
          <t>Подсолнечник гибридный</t>
        </is>
      </c>
      <c r="E60" s="13" t="inlineStr">
        <is>
          <t>ГРК</t>
        </is>
      </c>
      <c r="F60" s="20" t="n">
        <v>149</v>
      </c>
      <c r="G60" s="20" t="n">
        <v>149</v>
      </c>
      <c r="H60" s="20">
        <f>F60-G60</f>
        <v/>
      </c>
      <c r="I60" s="19">
        <f>IFERROR(G60/F60,"")</f>
        <v/>
      </c>
      <c r="J60" s="17" t="n"/>
      <c r="K60" s="17" t="n"/>
      <c r="L60" s="17" t="n">
        <v>46150</v>
      </c>
      <c r="M60" s="17" t="n">
        <v>46164</v>
      </c>
      <c r="N60" s="13" t="n">
        <v>81</v>
      </c>
    </row>
    <row r="61">
      <c r="A61" s="13" t="inlineStr">
        <is>
          <t>ВЕСЕННЕ-ПОЛЕВЫЕ РАБОТЫ</t>
        </is>
      </c>
      <c r="B61" s="13" t="inlineStr">
        <is>
          <t>Культивация№3</t>
        </is>
      </c>
      <c r="C61" s="13" t="inlineStr">
        <is>
          <t>культивация №4</t>
        </is>
      </c>
      <c r="D61" s="13" t="inlineStr">
        <is>
          <t>Подсолнечник гибридный</t>
        </is>
      </c>
      <c r="E61" s="13" t="inlineStr">
        <is>
          <t>ГРК</t>
        </is>
      </c>
      <c r="F61" s="20" t="n">
        <v>149</v>
      </c>
      <c r="G61" s="20" t="n">
        <v>58</v>
      </c>
      <c r="H61" s="20">
        <f>F61-G61</f>
        <v/>
      </c>
      <c r="I61" s="19">
        <f>IFERROR(G61/F61,"")</f>
        <v/>
      </c>
      <c r="J61" s="17" t="n"/>
      <c r="K61" s="17" t="n"/>
      <c r="L61" s="17" t="n">
        <v>46165</v>
      </c>
      <c r="M61" s="17" t="n"/>
      <c r="N61" s="13" t="n">
        <v>82</v>
      </c>
    </row>
    <row r="62">
      <c r="A62" s="13" t="inlineStr">
        <is>
          <t>ВЕСЕННЕ-ПОЛЕВЫЕ РАБОТЫ</t>
        </is>
      </c>
      <c r="B62" s="13" t="inlineStr">
        <is>
          <t>Глубокое рыхление 40-45</t>
        </is>
      </c>
      <c r="C62" s="13" t="inlineStr"/>
      <c r="D62" s="13" t="inlineStr">
        <is>
          <t>Подсолнечник гибридный</t>
        </is>
      </c>
      <c r="E62" s="13" t="inlineStr">
        <is>
          <t>ГРК</t>
        </is>
      </c>
      <c r="F62" s="20" t="n">
        <v>142</v>
      </c>
      <c r="G62" s="20" t="n">
        <v>103</v>
      </c>
      <c r="H62" s="20">
        <f>F62-G62</f>
        <v/>
      </c>
      <c r="I62" s="19">
        <f>IFERROR(G62/F62,"")</f>
        <v/>
      </c>
      <c r="J62" s="17" t="n">
        <v>46045</v>
      </c>
      <c r="K62" s="17" t="n">
        <v>46073</v>
      </c>
      <c r="L62" s="17" t="n">
        <v>46045</v>
      </c>
      <c r="M62" s="17" t="n"/>
      <c r="N62" s="13" t="n">
        <v>16</v>
      </c>
    </row>
  </sheetData>
  <autoFilter ref="A4:N62"/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6" customWidth="1" min="3" max="3"/>
    <col width="26" customWidth="1" min="4" max="4"/>
    <col width="16" customWidth="1" min="5" max="5"/>
    <col width="12" customWidth="1" min="6" max="6"/>
  </cols>
  <sheetData>
    <row r="1" ht="22" customHeight="1">
      <c r="A1" s="1" t="inlineStr">
        <is>
          <t>ВЫРАБОТКА ПО ДНЯМ — длинная таблица</t>
        </is>
      </c>
    </row>
    <row r="2">
      <c r="A2" s="2" t="inlineStr">
        <is>
          <t>Одна строка = один день по одному срезу. Источник для сводных формул.</t>
        </is>
      </c>
    </row>
    <row r="4" ht="30" customHeight="1">
      <c r="A4" s="3" t="inlineStr">
        <is>
          <t>Дата</t>
        </is>
      </c>
      <c r="B4" s="3" t="inlineStr">
        <is>
          <t>День</t>
        </is>
      </c>
      <c r="C4" s="3" t="inlineStr">
        <is>
          <t>Вид работ</t>
        </is>
      </c>
      <c r="D4" s="3" t="inlineStr">
        <is>
          <t>Культура</t>
        </is>
      </c>
      <c r="E4" s="3" t="inlineStr">
        <is>
          <t>Предприятие</t>
        </is>
      </c>
      <c r="F4" s="3" t="inlineStr">
        <is>
          <t>Га за день</t>
        </is>
      </c>
    </row>
    <row r="5">
      <c r="A5" s="17" t="n">
        <v>46045</v>
      </c>
      <c r="B5" s="13" t="inlineStr">
        <is>
          <t>пт</t>
        </is>
      </c>
      <c r="C5" s="13" t="inlineStr">
        <is>
          <t>Глубокое рыхление 40-45</t>
        </is>
      </c>
      <c r="D5" s="13" t="inlineStr">
        <is>
          <t>Подсолнечник гибридный</t>
        </is>
      </c>
      <c r="E5" s="13" t="inlineStr">
        <is>
          <t>ГРК</t>
        </is>
      </c>
      <c r="F5" s="20" t="n">
        <v>2</v>
      </c>
    </row>
    <row r="6">
      <c r="A6" s="17" t="n">
        <v>46080</v>
      </c>
      <c r="B6" s="13" t="inlineStr">
        <is>
          <t>пт</t>
        </is>
      </c>
      <c r="C6" s="13" t="inlineStr">
        <is>
          <t>Внесение мин.удобрений №1</t>
        </is>
      </c>
      <c r="D6" s="13" t="inlineStr">
        <is>
          <t>Пшеница озимая</t>
        </is>
      </c>
      <c r="E6" s="13" t="inlineStr">
        <is>
          <t>ГРК</t>
        </is>
      </c>
      <c r="F6" s="20" t="n">
        <v>594</v>
      </c>
    </row>
    <row r="7">
      <c r="A7" s="17" t="n">
        <v>46081</v>
      </c>
      <c r="B7" s="13" t="inlineStr">
        <is>
          <t>сб</t>
        </is>
      </c>
      <c r="C7" s="13" t="inlineStr">
        <is>
          <t>Внесение мин.удобрений №1</t>
        </is>
      </c>
      <c r="D7" s="13" t="inlineStr">
        <is>
          <t>Пшеница озимая</t>
        </is>
      </c>
      <c r="E7" s="13" t="inlineStr">
        <is>
          <t>ГРК</t>
        </is>
      </c>
      <c r="F7" s="20" t="n">
        <v>925</v>
      </c>
    </row>
    <row r="8">
      <c r="A8" s="17" t="n">
        <v>46082</v>
      </c>
      <c r="B8" s="13" t="inlineStr">
        <is>
          <t>вс</t>
        </is>
      </c>
      <c r="C8" s="13" t="inlineStr">
        <is>
          <t>Внесение мин.удобрений №1</t>
        </is>
      </c>
      <c r="D8" s="13" t="inlineStr">
        <is>
          <t>Пшеница озимая</t>
        </is>
      </c>
      <c r="E8" s="13" t="inlineStr">
        <is>
          <t>ГРК</t>
        </is>
      </c>
      <c r="F8" s="20" t="n">
        <v>971</v>
      </c>
    </row>
    <row r="9">
      <c r="A9" s="17" t="n">
        <v>46082</v>
      </c>
      <c r="B9" s="13" t="inlineStr">
        <is>
          <t>вс</t>
        </is>
      </c>
      <c r="C9" s="13" t="inlineStr">
        <is>
          <t>Сев горошка</t>
        </is>
      </c>
      <c r="D9" s="13" t="inlineStr">
        <is>
          <t>Горох овощной (богара)</t>
        </is>
      </c>
      <c r="E9" s="13" t="inlineStr">
        <is>
          <t>ГРК</t>
        </is>
      </c>
      <c r="F9" s="20" t="n">
        <v>19</v>
      </c>
    </row>
    <row r="10">
      <c r="A10" s="17" t="n">
        <v>46083</v>
      </c>
      <c r="B10" s="13" t="inlineStr">
        <is>
          <t>пн</t>
        </is>
      </c>
      <c r="C10" s="13" t="inlineStr">
        <is>
          <t>Внесение мин.удобрений №1</t>
        </is>
      </c>
      <c r="D10" s="13" t="inlineStr">
        <is>
          <t>Пшеница озимая</t>
        </is>
      </c>
      <c r="E10" s="13" t="inlineStr">
        <is>
          <t>ГРК</t>
        </is>
      </c>
      <c r="F10" s="20" t="n">
        <v>950</v>
      </c>
    </row>
    <row r="11">
      <c r="A11" s="17" t="n">
        <v>46083</v>
      </c>
      <c r="B11" s="13" t="inlineStr">
        <is>
          <t>пн</t>
        </is>
      </c>
      <c r="C11" s="13" t="inlineStr">
        <is>
          <t>Сев горошка</t>
        </is>
      </c>
      <c r="D11" s="13" t="inlineStr">
        <is>
          <t>Горох овощной (богара)</t>
        </is>
      </c>
      <c r="E11" s="13" t="inlineStr">
        <is>
          <t>ГРК</t>
        </is>
      </c>
      <c r="F11" s="20" t="n">
        <v>39</v>
      </c>
    </row>
    <row r="12">
      <c r="A12" s="17" t="n">
        <v>46084</v>
      </c>
      <c r="B12" s="13" t="inlineStr">
        <is>
          <t>вт</t>
        </is>
      </c>
      <c r="C12" s="13" t="inlineStr">
        <is>
          <t>Внесение мин.удобрений №1</t>
        </is>
      </c>
      <c r="D12" s="13" t="inlineStr">
        <is>
          <t>Пшеница озимая</t>
        </is>
      </c>
      <c r="E12" s="13" t="inlineStr">
        <is>
          <t>ГРК</t>
        </is>
      </c>
      <c r="F12" s="20" t="n">
        <v>358</v>
      </c>
    </row>
    <row r="13">
      <c r="A13" s="17" t="n">
        <v>46084</v>
      </c>
      <c r="B13" s="13" t="inlineStr">
        <is>
          <t>вт</t>
        </is>
      </c>
      <c r="C13" s="13" t="inlineStr">
        <is>
          <t>Внесение мин.удобрений №1</t>
        </is>
      </c>
      <c r="D13" s="13" t="inlineStr">
        <is>
          <t>Рапс озимый</t>
        </is>
      </c>
      <c r="E13" s="13" t="inlineStr">
        <is>
          <t>ГРК</t>
        </is>
      </c>
      <c r="F13" s="20" t="n">
        <v>251</v>
      </c>
    </row>
    <row r="14">
      <c r="A14" s="17" t="n">
        <v>46084</v>
      </c>
      <c r="B14" s="13" t="inlineStr">
        <is>
          <t>вт</t>
        </is>
      </c>
      <c r="C14" s="13" t="inlineStr">
        <is>
          <t>Прикатывание до всходов</t>
        </is>
      </c>
      <c r="D14" s="13" t="inlineStr">
        <is>
          <t>Горох овощной (богара)</t>
        </is>
      </c>
      <c r="E14" s="13" t="inlineStr">
        <is>
          <t>ГРК</t>
        </is>
      </c>
      <c r="F14" s="20" t="n">
        <v>75</v>
      </c>
    </row>
    <row r="15">
      <c r="A15" s="17" t="n">
        <v>46084</v>
      </c>
      <c r="B15" s="13" t="inlineStr">
        <is>
          <t>вт</t>
        </is>
      </c>
      <c r="C15" s="13" t="inlineStr">
        <is>
          <t>Сев горошка</t>
        </is>
      </c>
      <c r="D15" s="13" t="inlineStr">
        <is>
          <t>Горох овощной (богара)</t>
        </is>
      </c>
      <c r="E15" s="13" t="inlineStr">
        <is>
          <t>ГРК</t>
        </is>
      </c>
      <c r="F15" s="20" t="n">
        <v>53</v>
      </c>
    </row>
    <row r="16">
      <c r="A16" s="17" t="n">
        <v>46085</v>
      </c>
      <c r="B16" s="13" t="inlineStr">
        <is>
          <t>ср</t>
        </is>
      </c>
      <c r="C16" s="13" t="inlineStr">
        <is>
          <t>Глубокое рыхление 40-45</t>
        </is>
      </c>
      <c r="D16" s="13" t="inlineStr">
        <is>
          <t>Подсолнечник гибридный</t>
        </is>
      </c>
      <c r="E16" s="13" t="inlineStr">
        <is>
          <t>ГРК</t>
        </is>
      </c>
      <c r="F16" s="20" t="n">
        <v>1</v>
      </c>
    </row>
    <row r="17">
      <c r="A17" s="17" t="n">
        <v>46085</v>
      </c>
      <c r="B17" s="13" t="inlineStr">
        <is>
          <t>ср</t>
        </is>
      </c>
      <c r="C17" s="13" t="inlineStr">
        <is>
          <t>Предпосевная культивация</t>
        </is>
      </c>
      <c r="D17" s="13" t="inlineStr">
        <is>
          <t>Горох овощной (богара)</t>
        </is>
      </c>
      <c r="E17" s="13" t="inlineStr">
        <is>
          <t>ГРК</t>
        </is>
      </c>
      <c r="F17" s="20" t="n">
        <v>41</v>
      </c>
    </row>
    <row r="18">
      <c r="A18" s="17" t="n">
        <v>46085</v>
      </c>
      <c r="B18" s="13" t="inlineStr">
        <is>
          <t>ср</t>
        </is>
      </c>
      <c r="C18" s="13" t="inlineStr">
        <is>
          <t>Прикатывание до всходов</t>
        </is>
      </c>
      <c r="D18" s="13" t="inlineStr">
        <is>
          <t>Горох овощной (богара)</t>
        </is>
      </c>
      <c r="E18" s="13" t="inlineStr">
        <is>
          <t>ГРК</t>
        </is>
      </c>
      <c r="F18" s="20" t="n">
        <v>36</v>
      </c>
    </row>
    <row r="19">
      <c r="A19" s="17" t="n">
        <v>46085</v>
      </c>
      <c r="B19" s="13" t="inlineStr">
        <is>
          <t>ср</t>
        </is>
      </c>
      <c r="C19" s="13" t="inlineStr">
        <is>
          <t>Сев горошка</t>
        </is>
      </c>
      <c r="D19" s="13" t="inlineStr">
        <is>
          <t>Горох овощной (богара)</t>
        </is>
      </c>
      <c r="E19" s="13" t="inlineStr">
        <is>
          <t>ГРК</t>
        </is>
      </c>
      <c r="F19" s="20" t="n">
        <v>44</v>
      </c>
    </row>
    <row r="20">
      <c r="A20" s="17" t="n">
        <v>46086</v>
      </c>
      <c r="B20" s="13" t="inlineStr">
        <is>
          <t>чт</t>
        </is>
      </c>
      <c r="C20" s="13" t="inlineStr">
        <is>
          <t>Культивация№1</t>
        </is>
      </c>
      <c r="D20" s="13" t="inlineStr">
        <is>
          <t>Горох овощной (полив)</t>
        </is>
      </c>
      <c r="E20" s="13" t="inlineStr">
        <is>
          <t>ГРК</t>
        </is>
      </c>
      <c r="F20" s="20" t="n">
        <v>4</v>
      </c>
    </row>
    <row r="21">
      <c r="A21" s="17" t="n">
        <v>46086</v>
      </c>
      <c r="B21" s="13" t="inlineStr">
        <is>
          <t>чт</t>
        </is>
      </c>
      <c r="C21" s="13" t="inlineStr">
        <is>
          <t>Культивация№111</t>
        </is>
      </c>
      <c r="D21" s="13" t="inlineStr">
        <is>
          <t>Горох овощной (полив)</t>
        </is>
      </c>
      <c r="E21" s="13" t="inlineStr">
        <is>
          <t>ГРК</t>
        </is>
      </c>
      <c r="F21" s="20" t="n">
        <v>4</v>
      </c>
    </row>
    <row r="22">
      <c r="A22" s="17" t="n">
        <v>46086</v>
      </c>
      <c r="B22" s="13" t="inlineStr">
        <is>
          <t>чт</t>
        </is>
      </c>
      <c r="C22" s="13" t="inlineStr">
        <is>
          <t>Предпосевная культивация</t>
        </is>
      </c>
      <c r="D22" s="13" t="inlineStr">
        <is>
          <t>Горох овощной (богара)</t>
        </is>
      </c>
      <c r="E22" s="13" t="inlineStr">
        <is>
          <t>ГРК</t>
        </is>
      </c>
      <c r="F22" s="20" t="n">
        <v>38</v>
      </c>
    </row>
    <row r="23">
      <c r="A23" s="17" t="n">
        <v>46086</v>
      </c>
      <c r="B23" s="13" t="inlineStr">
        <is>
          <t>чт</t>
        </is>
      </c>
      <c r="C23" s="13" t="inlineStr">
        <is>
          <t>Сев горошка</t>
        </is>
      </c>
      <c r="D23" s="13" t="inlineStr">
        <is>
          <t>Горох овощной (богара)</t>
        </is>
      </c>
      <c r="E23" s="13" t="inlineStr">
        <is>
          <t>ГРК</t>
        </is>
      </c>
      <c r="F23" s="20" t="n">
        <v>33</v>
      </c>
    </row>
    <row r="24">
      <c r="A24" s="17" t="n">
        <v>46090</v>
      </c>
      <c r="B24" s="13" t="inlineStr">
        <is>
          <t>пн</t>
        </is>
      </c>
      <c r="C24" s="13" t="inlineStr">
        <is>
          <t>Сев горошка</t>
        </is>
      </c>
      <c r="D24" s="13" t="inlineStr">
        <is>
          <t>Горох овощной (богара)</t>
        </is>
      </c>
      <c r="E24" s="13" t="inlineStr">
        <is>
          <t>ГРК</t>
        </is>
      </c>
      <c r="F24" s="20" t="n">
        <v>39</v>
      </c>
    </row>
    <row r="25">
      <c r="A25" s="17" t="n">
        <v>46091</v>
      </c>
      <c r="B25" s="13" t="inlineStr">
        <is>
          <t>вт</t>
        </is>
      </c>
      <c r="C25" s="13" t="inlineStr">
        <is>
          <t>Культивация№1</t>
        </is>
      </c>
      <c r="D25" s="13" t="inlineStr">
        <is>
          <t>Горох овощной (полив)</t>
        </is>
      </c>
      <c r="E25" s="13" t="inlineStr">
        <is>
          <t>ГРК</t>
        </is>
      </c>
      <c r="F25" s="20" t="n">
        <v>23</v>
      </c>
    </row>
    <row r="26">
      <c r="A26" s="17" t="n">
        <v>46091</v>
      </c>
      <c r="B26" s="13" t="inlineStr">
        <is>
          <t>вт</t>
        </is>
      </c>
      <c r="C26" s="13" t="inlineStr">
        <is>
          <t>Культивация№111</t>
        </is>
      </c>
      <c r="D26" s="13" t="inlineStr">
        <is>
          <t>Горох овощной (полив)</t>
        </is>
      </c>
      <c r="E26" s="13" t="inlineStr">
        <is>
          <t>ГРК</t>
        </is>
      </c>
      <c r="F26" s="20" t="n">
        <v>23</v>
      </c>
    </row>
    <row r="27">
      <c r="A27" s="17" t="n">
        <v>46091</v>
      </c>
      <c r="B27" s="13" t="inlineStr">
        <is>
          <t>вт</t>
        </is>
      </c>
      <c r="C27" s="13" t="inlineStr">
        <is>
          <t>Предпосевная культивация</t>
        </is>
      </c>
      <c r="D27" s="13" t="inlineStr">
        <is>
          <t>Горох овощной (богара)</t>
        </is>
      </c>
      <c r="E27" s="13" t="inlineStr">
        <is>
          <t>ГРК</t>
        </is>
      </c>
      <c r="F27" s="20" t="n">
        <v>38</v>
      </c>
    </row>
    <row r="28">
      <c r="A28" s="17" t="n">
        <v>46091</v>
      </c>
      <c r="B28" s="13" t="inlineStr">
        <is>
          <t>вт</t>
        </is>
      </c>
      <c r="C28" s="13" t="inlineStr">
        <is>
          <t>Сев горошка</t>
        </is>
      </c>
      <c r="D28" s="13" t="inlineStr">
        <is>
          <t>Горох овощной (богара)</t>
        </is>
      </c>
      <c r="E28" s="13" t="inlineStr">
        <is>
          <t>ГРК</t>
        </is>
      </c>
      <c r="F28" s="20" t="n">
        <v>42</v>
      </c>
    </row>
    <row r="29">
      <c r="A29" s="17" t="n">
        <v>46092</v>
      </c>
      <c r="B29" s="13" t="inlineStr">
        <is>
          <t>ср</t>
        </is>
      </c>
      <c r="C29" s="13" t="inlineStr">
        <is>
          <t>Культивация№1</t>
        </is>
      </c>
      <c r="D29" s="13" t="inlineStr">
        <is>
          <t>Горох овощной (полив)</t>
        </is>
      </c>
      <c r="E29" s="13" t="inlineStr">
        <is>
          <t>ГРК</t>
        </is>
      </c>
      <c r="F29" s="20" t="n">
        <v>27</v>
      </c>
    </row>
    <row r="30">
      <c r="A30" s="17" t="n">
        <v>46092</v>
      </c>
      <c r="B30" s="13" t="inlineStr">
        <is>
          <t>ср</t>
        </is>
      </c>
      <c r="C30" s="13" t="inlineStr">
        <is>
          <t>Культивация№111</t>
        </is>
      </c>
      <c r="D30" s="13" t="inlineStr">
        <is>
          <t>Горох овощной (полив)</t>
        </is>
      </c>
      <c r="E30" s="13" t="inlineStr">
        <is>
          <t>ГРК</t>
        </is>
      </c>
      <c r="F30" s="20" t="n">
        <v>27</v>
      </c>
    </row>
    <row r="31">
      <c r="A31" s="17" t="n">
        <v>46092</v>
      </c>
      <c r="B31" s="13" t="inlineStr">
        <is>
          <t>ср</t>
        </is>
      </c>
      <c r="C31" s="13" t="inlineStr">
        <is>
          <t>Предпосевная культивация</t>
        </is>
      </c>
      <c r="D31" s="13" t="inlineStr">
        <is>
          <t>Горох овощной (богара)</t>
        </is>
      </c>
      <c r="E31" s="13" t="inlineStr">
        <is>
          <t>ГРК</t>
        </is>
      </c>
      <c r="F31" s="20" t="n">
        <v>43</v>
      </c>
    </row>
    <row r="32">
      <c r="A32" s="17" t="n">
        <v>46092</v>
      </c>
      <c r="B32" s="13" t="inlineStr">
        <is>
          <t>ср</t>
        </is>
      </c>
      <c r="C32" s="13" t="inlineStr">
        <is>
          <t>Сев горошка</t>
        </is>
      </c>
      <c r="D32" s="13" t="inlineStr">
        <is>
          <t>Горох овощной (богара)</t>
        </is>
      </c>
      <c r="E32" s="13" t="inlineStr">
        <is>
          <t>ГРК</t>
        </is>
      </c>
      <c r="F32" s="20" t="n">
        <v>21</v>
      </c>
    </row>
    <row r="33">
      <c r="A33" s="17" t="n">
        <v>46093</v>
      </c>
      <c r="B33" s="13" t="inlineStr">
        <is>
          <t>чт</t>
        </is>
      </c>
      <c r="C33" s="13" t="inlineStr">
        <is>
          <t>Глубокое рыхление 40-45</t>
        </is>
      </c>
      <c r="D33" s="13" t="inlineStr">
        <is>
          <t>Подсолнечник гибридный</t>
        </is>
      </c>
      <c r="E33" s="13" t="inlineStr">
        <is>
          <t>ГРК</t>
        </is>
      </c>
      <c r="F33" s="20" t="n">
        <v>9</v>
      </c>
    </row>
    <row r="34">
      <c r="A34" s="17" t="n">
        <v>46093</v>
      </c>
      <c r="B34" s="13" t="inlineStr">
        <is>
          <t>чт</t>
        </is>
      </c>
      <c r="C34" s="13" t="inlineStr">
        <is>
          <t>Культивация№1</t>
        </is>
      </c>
      <c r="D34" s="13" t="inlineStr">
        <is>
          <t>Горох овощной (полив)</t>
        </is>
      </c>
      <c r="E34" s="13" t="inlineStr">
        <is>
          <t>ГРК</t>
        </is>
      </c>
      <c r="F34" s="20" t="n">
        <v>35</v>
      </c>
    </row>
    <row r="35">
      <c r="A35" s="17" t="n">
        <v>46093</v>
      </c>
      <c r="B35" s="13" t="inlineStr">
        <is>
          <t>чт</t>
        </is>
      </c>
      <c r="C35" s="13" t="inlineStr">
        <is>
          <t>Культивация№1</t>
        </is>
      </c>
      <c r="D35" s="13" t="inlineStr">
        <is>
          <t>Подсолнечник гибридный</t>
        </is>
      </c>
      <c r="E35" s="13" t="inlineStr">
        <is>
          <t>ГРК</t>
        </is>
      </c>
      <c r="F35" s="20" t="n">
        <v>20</v>
      </c>
    </row>
    <row r="36">
      <c r="A36" s="17" t="n">
        <v>46093</v>
      </c>
      <c r="B36" s="13" t="inlineStr">
        <is>
          <t>чт</t>
        </is>
      </c>
      <c r="C36" s="13" t="inlineStr">
        <is>
          <t>Культивация№111</t>
        </is>
      </c>
      <c r="D36" s="13" t="inlineStr">
        <is>
          <t>Горох овощной (полив)</t>
        </is>
      </c>
      <c r="E36" s="13" t="inlineStr">
        <is>
          <t>ГРК</t>
        </is>
      </c>
      <c r="F36" s="20" t="n">
        <v>35</v>
      </c>
    </row>
    <row r="37">
      <c r="A37" s="17" t="n">
        <v>46093</v>
      </c>
      <c r="B37" s="13" t="inlineStr">
        <is>
          <t>чт</t>
        </is>
      </c>
      <c r="C37" s="13" t="inlineStr">
        <is>
          <t>Культивация№111</t>
        </is>
      </c>
      <c r="D37" s="13" t="inlineStr">
        <is>
          <t>Подсолнечник гибридный</t>
        </is>
      </c>
      <c r="E37" s="13" t="inlineStr">
        <is>
          <t>ГРК</t>
        </is>
      </c>
      <c r="F37" s="20" t="n">
        <v>20</v>
      </c>
    </row>
    <row r="38">
      <c r="A38" s="17" t="n">
        <v>46093</v>
      </c>
      <c r="B38" s="13" t="inlineStr">
        <is>
          <t>чт</t>
        </is>
      </c>
      <c r="C38" s="13" t="inlineStr">
        <is>
          <t>Предпосевная культивация</t>
        </is>
      </c>
      <c r="D38" s="13" t="inlineStr">
        <is>
          <t>Горох овощной (богара)</t>
        </is>
      </c>
      <c r="E38" s="13" t="inlineStr">
        <is>
          <t>ГРК</t>
        </is>
      </c>
      <c r="F38" s="20" t="n">
        <v>110</v>
      </c>
    </row>
    <row r="39">
      <c r="A39" s="17" t="n">
        <v>46094</v>
      </c>
      <c r="B39" s="13" t="inlineStr">
        <is>
          <t>пт</t>
        </is>
      </c>
      <c r="C39" s="13" t="inlineStr">
        <is>
          <t>Глубокое рыхление 40-45</t>
        </is>
      </c>
      <c r="D39" s="13" t="inlineStr">
        <is>
          <t>Подсолнечник гибридный</t>
        </is>
      </c>
      <c r="E39" s="13" t="inlineStr">
        <is>
          <t>ГРК</t>
        </is>
      </c>
      <c r="F39" s="20" t="n">
        <v>34</v>
      </c>
    </row>
    <row r="40">
      <c r="A40" s="17" t="n">
        <v>46094</v>
      </c>
      <c r="B40" s="13" t="inlineStr">
        <is>
          <t>пт</t>
        </is>
      </c>
      <c r="C40" s="13" t="inlineStr">
        <is>
          <t>Культивация№1</t>
        </is>
      </c>
      <c r="D40" s="13" t="inlineStr">
        <is>
          <t>Горох овощной (полив)</t>
        </is>
      </c>
      <c r="E40" s="13" t="inlineStr">
        <is>
          <t>ГРК</t>
        </is>
      </c>
      <c r="F40" s="20" t="n">
        <v>27</v>
      </c>
    </row>
    <row r="41">
      <c r="A41" s="17" t="n">
        <v>46094</v>
      </c>
      <c r="B41" s="13" t="inlineStr">
        <is>
          <t>пт</t>
        </is>
      </c>
      <c r="C41" s="13" t="inlineStr">
        <is>
          <t>Культивация№1</t>
        </is>
      </c>
      <c r="D41" s="13" t="inlineStr">
        <is>
          <t>Кукуруза на зерно</t>
        </is>
      </c>
      <c r="E41" s="13" t="inlineStr">
        <is>
          <t>ГРК</t>
        </is>
      </c>
      <c r="F41" s="20" t="n">
        <v>47</v>
      </c>
    </row>
    <row r="42">
      <c r="A42" s="17" t="n">
        <v>46094</v>
      </c>
      <c r="B42" s="13" t="inlineStr">
        <is>
          <t>пт</t>
        </is>
      </c>
      <c r="C42" s="13" t="inlineStr">
        <is>
          <t>Культивация№111</t>
        </is>
      </c>
      <c r="D42" s="13" t="inlineStr">
        <is>
          <t>Горох овощной (полив)</t>
        </is>
      </c>
      <c r="E42" s="13" t="inlineStr">
        <is>
          <t>ГРК</t>
        </is>
      </c>
      <c r="F42" s="20" t="n">
        <v>27</v>
      </c>
    </row>
    <row r="43">
      <c r="A43" s="17" t="n">
        <v>46094</v>
      </c>
      <c r="B43" s="13" t="inlineStr">
        <is>
          <t>пт</t>
        </is>
      </c>
      <c r="C43" s="13" t="inlineStr">
        <is>
          <t>Культивация№111</t>
        </is>
      </c>
      <c r="D43" s="13" t="inlineStr">
        <is>
          <t>Кукуруза на зерно</t>
        </is>
      </c>
      <c r="E43" s="13" t="inlineStr">
        <is>
          <t>ГРК</t>
        </is>
      </c>
      <c r="F43" s="20" t="n">
        <v>47</v>
      </c>
    </row>
    <row r="44">
      <c r="A44" s="17" t="n">
        <v>46094</v>
      </c>
      <c r="B44" s="13" t="inlineStr">
        <is>
          <t>пт</t>
        </is>
      </c>
      <c r="C44" s="13" t="inlineStr">
        <is>
          <t>Предпосевная культивация</t>
        </is>
      </c>
      <c r="D44" s="13" t="inlineStr">
        <is>
          <t>Горох овощной (богара)</t>
        </is>
      </c>
      <c r="E44" s="13" t="inlineStr">
        <is>
          <t>ГРК</t>
        </is>
      </c>
      <c r="F44" s="20" t="n">
        <v>8</v>
      </c>
    </row>
    <row r="45">
      <c r="A45" s="17" t="n">
        <v>46094</v>
      </c>
      <c r="B45" s="13" t="inlineStr">
        <is>
          <t>пт</t>
        </is>
      </c>
      <c r="C45" s="13" t="inlineStr">
        <is>
          <t>Сев горошка</t>
        </is>
      </c>
      <c r="D45" s="13" t="inlineStr">
        <is>
          <t>Горох овощной (богара)</t>
        </is>
      </c>
      <c r="E45" s="13" t="inlineStr">
        <is>
          <t>ГРК</t>
        </is>
      </c>
      <c r="F45" s="20" t="n">
        <v>38</v>
      </c>
    </row>
    <row r="46">
      <c r="A46" s="17" t="n">
        <v>46095</v>
      </c>
      <c r="B46" s="13" t="inlineStr">
        <is>
          <t>сб</t>
        </is>
      </c>
      <c r="C46" s="13" t="inlineStr">
        <is>
          <t>Глубокое рыхление 40-45</t>
        </is>
      </c>
      <c r="D46" s="13" t="inlineStr">
        <is>
          <t>Подсолнечник гибридный</t>
        </is>
      </c>
      <c r="E46" s="13" t="inlineStr">
        <is>
          <t>ГРК</t>
        </is>
      </c>
      <c r="F46" s="20" t="n">
        <v>28</v>
      </c>
    </row>
    <row r="47">
      <c r="A47" s="17" t="n">
        <v>46095</v>
      </c>
      <c r="B47" s="13" t="inlineStr">
        <is>
          <t>сб</t>
        </is>
      </c>
      <c r="C47" s="13" t="inlineStr">
        <is>
          <t>Культивация№1</t>
        </is>
      </c>
      <c r="D47" s="13" t="inlineStr">
        <is>
          <t>Кукуруза на зерно</t>
        </is>
      </c>
      <c r="E47" s="13" t="inlineStr">
        <is>
          <t>ГРК</t>
        </is>
      </c>
      <c r="F47" s="20" t="n">
        <v>25</v>
      </c>
    </row>
    <row r="48">
      <c r="A48" s="17" t="n">
        <v>46095</v>
      </c>
      <c r="B48" s="13" t="inlineStr">
        <is>
          <t>сб</t>
        </is>
      </c>
      <c r="C48" s="13" t="inlineStr">
        <is>
          <t>Культивация№1</t>
        </is>
      </c>
      <c r="D48" s="13" t="inlineStr">
        <is>
          <t>Подсолнечник</t>
        </is>
      </c>
      <c r="E48" s="13" t="inlineStr">
        <is>
          <t>ГРК</t>
        </is>
      </c>
      <c r="F48" s="20" t="n">
        <v>7</v>
      </c>
    </row>
    <row r="49">
      <c r="A49" s="17" t="n">
        <v>46095</v>
      </c>
      <c r="B49" s="13" t="inlineStr">
        <is>
          <t>сб</t>
        </is>
      </c>
      <c r="C49" s="13" t="inlineStr">
        <is>
          <t>Культивация№111</t>
        </is>
      </c>
      <c r="D49" s="13" t="inlineStr">
        <is>
          <t>Кукуруза на зерно</t>
        </is>
      </c>
      <c r="E49" s="13" t="inlineStr">
        <is>
          <t>ГРК</t>
        </is>
      </c>
      <c r="F49" s="20" t="n">
        <v>25</v>
      </c>
    </row>
    <row r="50">
      <c r="A50" s="17" t="n">
        <v>46095</v>
      </c>
      <c r="B50" s="13" t="inlineStr">
        <is>
          <t>сб</t>
        </is>
      </c>
      <c r="C50" s="13" t="inlineStr">
        <is>
          <t>Культивация№111</t>
        </is>
      </c>
      <c r="D50" s="13" t="inlineStr">
        <is>
          <t>Подсолнечник</t>
        </is>
      </c>
      <c r="E50" s="13" t="inlineStr">
        <is>
          <t>ГРК</t>
        </is>
      </c>
      <c r="F50" s="20" t="n">
        <v>7</v>
      </c>
    </row>
    <row r="51">
      <c r="A51" s="17" t="n">
        <v>46095</v>
      </c>
      <c r="B51" s="13" t="inlineStr">
        <is>
          <t>сб</t>
        </is>
      </c>
      <c r="C51" s="13" t="inlineStr">
        <is>
          <t>Предпосевная культивация</t>
        </is>
      </c>
      <c r="D51" s="13" t="inlineStr">
        <is>
          <t>Горох овощной (богара)</t>
        </is>
      </c>
      <c r="E51" s="13" t="inlineStr">
        <is>
          <t>ГРК</t>
        </is>
      </c>
      <c r="F51" s="20" t="n">
        <v>38</v>
      </c>
    </row>
    <row r="52">
      <c r="A52" s="17" t="n">
        <v>46095</v>
      </c>
      <c r="B52" s="13" t="inlineStr">
        <is>
          <t>сб</t>
        </is>
      </c>
      <c r="C52" s="13" t="inlineStr">
        <is>
          <t>Сев горошка</t>
        </is>
      </c>
      <c r="D52" s="13" t="inlineStr">
        <is>
          <t>Горох овощной (богара)</t>
        </is>
      </c>
      <c r="E52" s="13" t="inlineStr">
        <is>
          <t>ГРК</t>
        </is>
      </c>
      <c r="F52" s="20" t="n">
        <v>41</v>
      </c>
    </row>
    <row r="53">
      <c r="A53" s="17" t="n">
        <v>46096</v>
      </c>
      <c r="B53" s="13" t="inlineStr">
        <is>
          <t>вс</t>
        </is>
      </c>
      <c r="C53" s="13" t="inlineStr">
        <is>
          <t>Глубокое рыхление 40-45</t>
        </is>
      </c>
      <c r="D53" s="13" t="inlineStr">
        <is>
          <t>Подсолнечник гибридный</t>
        </is>
      </c>
      <c r="E53" s="13" t="inlineStr">
        <is>
          <t>ГРК</t>
        </is>
      </c>
      <c r="F53" s="20" t="n">
        <v>29</v>
      </c>
    </row>
    <row r="54">
      <c r="A54" s="17" t="n">
        <v>46096</v>
      </c>
      <c r="B54" s="13" t="inlineStr">
        <is>
          <t>вс</t>
        </is>
      </c>
      <c r="C54" s="13" t="inlineStr">
        <is>
          <t>Культивация№1</t>
        </is>
      </c>
      <c r="D54" s="13" t="inlineStr">
        <is>
          <t>Кукуруза на зерно</t>
        </is>
      </c>
      <c r="E54" s="13" t="inlineStr">
        <is>
          <t>ГРК</t>
        </is>
      </c>
      <c r="F54" s="20" t="n">
        <v>60</v>
      </c>
    </row>
    <row r="55">
      <c r="A55" s="17" t="n">
        <v>46096</v>
      </c>
      <c r="B55" s="13" t="inlineStr">
        <is>
          <t>вс</t>
        </is>
      </c>
      <c r="C55" s="13" t="inlineStr">
        <is>
          <t>Культивация№1</t>
        </is>
      </c>
      <c r="D55" s="13" t="inlineStr">
        <is>
          <t>Подсолнечник</t>
        </is>
      </c>
      <c r="E55" s="13" t="inlineStr">
        <is>
          <t>ГРК</t>
        </is>
      </c>
      <c r="F55" s="20" t="n">
        <v>28</v>
      </c>
    </row>
    <row r="56">
      <c r="A56" s="17" t="n">
        <v>46096</v>
      </c>
      <c r="B56" s="13" t="inlineStr">
        <is>
          <t>вс</t>
        </is>
      </c>
      <c r="C56" s="13" t="inlineStr">
        <is>
          <t>Культивация№111</t>
        </is>
      </c>
      <c r="D56" s="13" t="inlineStr">
        <is>
          <t>Кукуруза на зерно</t>
        </is>
      </c>
      <c r="E56" s="13" t="inlineStr">
        <is>
          <t>ГРК</t>
        </is>
      </c>
      <c r="F56" s="20" t="n">
        <v>60</v>
      </c>
    </row>
    <row r="57">
      <c r="A57" s="17" t="n">
        <v>46096</v>
      </c>
      <c r="B57" s="13" t="inlineStr">
        <is>
          <t>вс</t>
        </is>
      </c>
      <c r="C57" s="13" t="inlineStr">
        <is>
          <t>Культивация№111</t>
        </is>
      </c>
      <c r="D57" s="13" t="inlineStr">
        <is>
          <t>Подсолнечник</t>
        </is>
      </c>
      <c r="E57" s="13" t="inlineStr">
        <is>
          <t>ГРК</t>
        </is>
      </c>
      <c r="F57" s="20" t="n">
        <v>28</v>
      </c>
    </row>
    <row r="58">
      <c r="A58" s="17" t="n">
        <v>46097</v>
      </c>
      <c r="B58" s="13" t="inlineStr">
        <is>
          <t>пн</t>
        </is>
      </c>
      <c r="C58" s="13" t="inlineStr">
        <is>
          <t>Культивация№1</t>
        </is>
      </c>
      <c r="D58" s="13" t="inlineStr">
        <is>
          <t>Кукуруза на зерно</t>
        </is>
      </c>
      <c r="E58" s="13" t="inlineStr">
        <is>
          <t>ГРК</t>
        </is>
      </c>
      <c r="F58" s="20" t="n">
        <v>17</v>
      </c>
    </row>
    <row r="59">
      <c r="A59" s="17" t="n">
        <v>46097</v>
      </c>
      <c r="B59" s="13" t="inlineStr">
        <is>
          <t>пн</t>
        </is>
      </c>
      <c r="C59" s="13" t="inlineStr">
        <is>
          <t>Культивация№1</t>
        </is>
      </c>
      <c r="D59" s="13" t="inlineStr">
        <is>
          <t>Подсолнечник</t>
        </is>
      </c>
      <c r="E59" s="13" t="inlineStr">
        <is>
          <t>ГРК</t>
        </is>
      </c>
      <c r="F59" s="20" t="n">
        <v>45</v>
      </c>
    </row>
    <row r="60">
      <c r="A60" s="17" t="n">
        <v>46097</v>
      </c>
      <c r="B60" s="13" t="inlineStr">
        <is>
          <t>пн</t>
        </is>
      </c>
      <c r="C60" s="13" t="inlineStr">
        <is>
          <t>Культивация№111</t>
        </is>
      </c>
      <c r="D60" s="13" t="inlineStr">
        <is>
          <t>Кукуруза на зерно</t>
        </is>
      </c>
      <c r="E60" s="13" t="inlineStr">
        <is>
          <t>ГРК</t>
        </is>
      </c>
      <c r="F60" s="20" t="n">
        <v>17</v>
      </c>
    </row>
    <row r="61">
      <c r="A61" s="17" t="n">
        <v>46097</v>
      </c>
      <c r="B61" s="13" t="inlineStr">
        <is>
          <t>пн</t>
        </is>
      </c>
      <c r="C61" s="13" t="inlineStr">
        <is>
          <t>Культивация№111</t>
        </is>
      </c>
      <c r="D61" s="13" t="inlineStr">
        <is>
          <t>Подсолнечник</t>
        </is>
      </c>
      <c r="E61" s="13" t="inlineStr">
        <is>
          <t>ГРК</t>
        </is>
      </c>
      <c r="F61" s="20" t="n">
        <v>45</v>
      </c>
    </row>
    <row r="62">
      <c r="A62" s="17" t="n">
        <v>46099</v>
      </c>
      <c r="B62" s="13" t="inlineStr">
        <is>
          <t>ср</t>
        </is>
      </c>
      <c r="C62" s="13" t="inlineStr">
        <is>
          <t>Сев горошка</t>
        </is>
      </c>
      <c r="D62" s="13" t="inlineStr">
        <is>
          <t>Горох овощной (богара)</t>
        </is>
      </c>
      <c r="E62" s="13" t="inlineStr">
        <is>
          <t>ГРК</t>
        </is>
      </c>
      <c r="F62" s="20" t="n">
        <v>28</v>
      </c>
    </row>
    <row r="63">
      <c r="A63" s="17" t="n">
        <v>46100</v>
      </c>
      <c r="B63" s="13" t="inlineStr">
        <is>
          <t>чт</t>
        </is>
      </c>
      <c r="C63" s="13" t="inlineStr">
        <is>
          <t>Культивация№1</t>
        </is>
      </c>
      <c r="D63" s="13" t="inlineStr">
        <is>
          <t>Подсолнечник гибридный</t>
        </is>
      </c>
      <c r="E63" s="13" t="inlineStr">
        <is>
          <t>ГРК</t>
        </is>
      </c>
      <c r="F63" s="20" t="n">
        <v>58</v>
      </c>
    </row>
    <row r="64">
      <c r="A64" s="17" t="n">
        <v>46100</v>
      </c>
      <c r="B64" s="13" t="inlineStr">
        <is>
          <t>чт</t>
        </is>
      </c>
      <c r="C64" s="13" t="inlineStr">
        <is>
          <t>Культивация№111</t>
        </is>
      </c>
      <c r="D64" s="13" t="inlineStr">
        <is>
          <t>Подсолнечник гибридный</t>
        </is>
      </c>
      <c r="E64" s="13" t="inlineStr">
        <is>
          <t>ГРК</t>
        </is>
      </c>
      <c r="F64" s="20" t="n">
        <v>58</v>
      </c>
    </row>
    <row r="65">
      <c r="A65" s="17" t="n">
        <v>46100</v>
      </c>
      <c r="B65" s="13" t="inlineStr">
        <is>
          <t>чт</t>
        </is>
      </c>
      <c r="C65" s="13" t="inlineStr">
        <is>
          <t>Сев горошка</t>
        </is>
      </c>
      <c r="D65" s="13" t="inlineStr">
        <is>
          <t>Горох овощной (богара)</t>
        </is>
      </c>
      <c r="E65" s="13" t="inlineStr">
        <is>
          <t>ГРК</t>
        </is>
      </c>
      <c r="F65" s="20" t="n">
        <v>35</v>
      </c>
    </row>
    <row r="66">
      <c r="A66" s="17" t="n">
        <v>46101</v>
      </c>
      <c r="B66" s="13" t="inlineStr">
        <is>
          <t>пт</t>
        </is>
      </c>
      <c r="C66" s="13" t="inlineStr">
        <is>
          <t>Культивация№1</t>
        </is>
      </c>
      <c r="D66" s="13" t="inlineStr">
        <is>
          <t>Подсолнечник гибридный</t>
        </is>
      </c>
      <c r="E66" s="13" t="inlineStr">
        <is>
          <t>ГРК</t>
        </is>
      </c>
      <c r="F66" s="20" t="n">
        <v>25</v>
      </c>
    </row>
    <row r="67">
      <c r="A67" s="17" t="n">
        <v>46101</v>
      </c>
      <c r="B67" s="13" t="inlineStr">
        <is>
          <t>пт</t>
        </is>
      </c>
      <c r="C67" s="13" t="inlineStr">
        <is>
          <t>Культивация№111</t>
        </is>
      </c>
      <c r="D67" s="13" t="inlineStr">
        <is>
          <t>Подсолнечник гибридный</t>
        </is>
      </c>
      <c r="E67" s="13" t="inlineStr">
        <is>
          <t>ГРК</t>
        </is>
      </c>
      <c r="F67" s="20" t="n">
        <v>25</v>
      </c>
    </row>
    <row r="68">
      <c r="A68" s="17" t="n">
        <v>46101</v>
      </c>
      <c r="B68" s="13" t="inlineStr">
        <is>
          <t>пт</t>
        </is>
      </c>
      <c r="C68" s="13" t="inlineStr">
        <is>
          <t>Предпосевная культивация</t>
        </is>
      </c>
      <c r="D68" s="13" t="inlineStr">
        <is>
          <t>Горох овощной (богара)</t>
        </is>
      </c>
      <c r="E68" s="13" t="inlineStr">
        <is>
          <t>ГРК</t>
        </is>
      </c>
      <c r="F68" s="20" t="n">
        <v>20</v>
      </c>
    </row>
    <row r="69">
      <c r="A69" s="17" t="n">
        <v>46101</v>
      </c>
      <c r="B69" s="13" t="inlineStr">
        <is>
          <t>пт</t>
        </is>
      </c>
      <c r="C69" s="13" t="inlineStr">
        <is>
          <t>Сев горошка</t>
        </is>
      </c>
      <c r="D69" s="13" t="inlineStr">
        <is>
          <t>Горох овощной (богара)</t>
        </is>
      </c>
      <c r="E69" s="13" t="inlineStr">
        <is>
          <t>ГРК</t>
        </is>
      </c>
      <c r="F69" s="20" t="n">
        <v>30</v>
      </c>
    </row>
    <row r="70">
      <c r="A70" s="17" t="n">
        <v>46104</v>
      </c>
      <c r="B70" s="13" t="inlineStr">
        <is>
          <t>пн</t>
        </is>
      </c>
      <c r="C70" s="13" t="inlineStr">
        <is>
          <t>Внесение мин.удобрений №2</t>
        </is>
      </c>
      <c r="D70" s="13" t="inlineStr">
        <is>
          <t>Пшеница озимая</t>
        </is>
      </c>
      <c r="E70" s="13" t="inlineStr">
        <is>
          <t>ГРК</t>
        </is>
      </c>
      <c r="F70" s="20" t="n">
        <v>481</v>
      </c>
    </row>
    <row r="71">
      <c r="A71" s="17" t="n">
        <v>46104</v>
      </c>
      <c r="B71" s="13" t="inlineStr">
        <is>
          <t>пн</t>
        </is>
      </c>
      <c r="C71" s="13" t="inlineStr">
        <is>
          <t>Сев горошка</t>
        </is>
      </c>
      <c r="D71" s="13" t="inlineStr">
        <is>
          <t>Горох овощной (богара)</t>
        </is>
      </c>
      <c r="E71" s="13" t="inlineStr">
        <is>
          <t>ГРК</t>
        </is>
      </c>
      <c r="F71" s="20" t="n">
        <v>34</v>
      </c>
    </row>
    <row r="72">
      <c r="A72" s="17" t="n">
        <v>46105</v>
      </c>
      <c r="B72" s="13" t="inlineStr">
        <is>
          <t>вт</t>
        </is>
      </c>
      <c r="C72" s="13" t="inlineStr">
        <is>
          <t>Внесение мин.удобрений №2</t>
        </is>
      </c>
      <c r="D72" s="13" t="inlineStr">
        <is>
          <t>Пшеница озимая</t>
        </is>
      </c>
      <c r="E72" s="13" t="inlineStr">
        <is>
          <t>ГРК</t>
        </is>
      </c>
      <c r="F72" s="20" t="n">
        <v>609</v>
      </c>
    </row>
    <row r="73">
      <c r="A73" s="17" t="n">
        <v>46105</v>
      </c>
      <c r="B73" s="13" t="inlineStr">
        <is>
          <t>вт</t>
        </is>
      </c>
      <c r="C73" s="13" t="inlineStr">
        <is>
          <t>Культивация№2</t>
        </is>
      </c>
      <c r="D73" s="13" t="inlineStr">
        <is>
          <t>Подсолнечник гибридный</t>
        </is>
      </c>
      <c r="E73" s="13" t="inlineStr">
        <is>
          <t>ГРК</t>
        </is>
      </c>
      <c r="F73" s="20" t="n">
        <v>24</v>
      </c>
    </row>
    <row r="74">
      <c r="A74" s="17" t="n">
        <v>46105</v>
      </c>
      <c r="B74" s="13" t="inlineStr">
        <is>
          <t>вт</t>
        </is>
      </c>
      <c r="C74" s="13" t="inlineStr">
        <is>
          <t>Сев горошка</t>
        </is>
      </c>
      <c r="D74" s="13" t="inlineStr">
        <is>
          <t>Горох овощной (богара)</t>
        </is>
      </c>
      <c r="E74" s="13" t="inlineStr">
        <is>
          <t>ГРК</t>
        </is>
      </c>
      <c r="F74" s="20" t="n">
        <v>20</v>
      </c>
    </row>
    <row r="75">
      <c r="A75" s="17" t="n">
        <v>46106</v>
      </c>
      <c r="B75" s="13" t="inlineStr">
        <is>
          <t>ср</t>
        </is>
      </c>
      <c r="C75" s="13" t="inlineStr">
        <is>
          <t>Внесение мин.удобрений №2</t>
        </is>
      </c>
      <c r="D75" s="13" t="inlineStr">
        <is>
          <t>Пшеница озимая</t>
        </is>
      </c>
      <c r="E75" s="13" t="inlineStr">
        <is>
          <t>ГРК</t>
        </is>
      </c>
      <c r="F75" s="20" t="n">
        <v>937</v>
      </c>
    </row>
    <row r="76">
      <c r="A76" s="17" t="n">
        <v>46106</v>
      </c>
      <c r="B76" s="13" t="inlineStr">
        <is>
          <t>ср</t>
        </is>
      </c>
      <c r="C76" s="13" t="inlineStr">
        <is>
          <t>Культивация№2</t>
        </is>
      </c>
      <c r="D76" s="13" t="inlineStr">
        <is>
          <t>Подсолнечник гибридный</t>
        </is>
      </c>
      <c r="E76" s="13" t="inlineStr">
        <is>
          <t>ГРК</t>
        </is>
      </c>
      <c r="F76" s="20" t="n">
        <v>64</v>
      </c>
    </row>
    <row r="77">
      <c r="A77" s="17" t="n">
        <v>46106</v>
      </c>
      <c r="B77" s="13" t="inlineStr">
        <is>
          <t>ср</t>
        </is>
      </c>
      <c r="C77" s="13" t="inlineStr">
        <is>
          <t>Предпосевная культивация</t>
        </is>
      </c>
      <c r="D77" s="13" t="inlineStr">
        <is>
          <t>Горох овощной (полив)</t>
        </is>
      </c>
      <c r="E77" s="13" t="inlineStr">
        <is>
          <t>ГРК</t>
        </is>
      </c>
      <c r="F77" s="20" t="n">
        <v>20</v>
      </c>
    </row>
    <row r="78">
      <c r="A78" s="17" t="n">
        <v>46109</v>
      </c>
      <c r="B78" s="13" t="inlineStr">
        <is>
          <t>сб</t>
        </is>
      </c>
      <c r="C78" s="13" t="inlineStr">
        <is>
          <t>Внесение мин.удобрений №2</t>
        </is>
      </c>
      <c r="D78" s="13" t="inlineStr">
        <is>
          <t>Пшеница озимая</t>
        </is>
      </c>
      <c r="E78" s="13" t="inlineStr">
        <is>
          <t>ГРК</t>
        </is>
      </c>
      <c r="F78" s="20" t="n">
        <v>850</v>
      </c>
    </row>
    <row r="79">
      <c r="A79" s="17" t="n">
        <v>46109</v>
      </c>
      <c r="B79" s="13" t="inlineStr">
        <is>
          <t>сб</t>
        </is>
      </c>
      <c r="C79" s="13" t="inlineStr">
        <is>
          <t>Сев горошка</t>
        </is>
      </c>
      <c r="D79" s="13" t="inlineStr">
        <is>
          <t>Горох овощной (богара)</t>
        </is>
      </c>
      <c r="E79" s="13" t="inlineStr">
        <is>
          <t>ГРК</t>
        </is>
      </c>
      <c r="F79" s="20" t="n">
        <v>34</v>
      </c>
    </row>
    <row r="80">
      <c r="A80" s="17" t="n">
        <v>46110</v>
      </c>
      <c r="B80" s="13" t="inlineStr">
        <is>
          <t>вс</t>
        </is>
      </c>
      <c r="C80" s="13" t="inlineStr">
        <is>
          <t>Внесение мин.удобрений №2</t>
        </is>
      </c>
      <c r="D80" s="13" t="inlineStr">
        <is>
          <t>Пшеница озимая</t>
        </is>
      </c>
      <c r="E80" s="13" t="inlineStr">
        <is>
          <t>ГРК</t>
        </is>
      </c>
      <c r="F80" s="20" t="n">
        <v>921</v>
      </c>
    </row>
    <row r="81">
      <c r="A81" s="17" t="n">
        <v>46110</v>
      </c>
      <c r="B81" s="13" t="inlineStr">
        <is>
          <t>вс</t>
        </is>
      </c>
      <c r="C81" s="13" t="inlineStr">
        <is>
          <t>Сев горошка</t>
        </is>
      </c>
      <c r="D81" s="13" t="inlineStr">
        <is>
          <t>Горох овощной (богара)</t>
        </is>
      </c>
      <c r="E81" s="13" t="inlineStr">
        <is>
          <t>ГРК</t>
        </is>
      </c>
      <c r="F81" s="20" t="n">
        <v>47</v>
      </c>
    </row>
    <row r="82">
      <c r="A82" s="17" t="n">
        <v>46110</v>
      </c>
      <c r="B82" s="13" t="inlineStr">
        <is>
          <t>вс</t>
        </is>
      </c>
      <c r="C82" s="13" t="inlineStr">
        <is>
          <t>Хим обработка</t>
        </is>
      </c>
      <c r="D82" s="13" t="inlineStr">
        <is>
          <t>Рапс озимый</t>
        </is>
      </c>
      <c r="E82" s="13" t="inlineStr">
        <is>
          <t>ГРК</t>
        </is>
      </c>
      <c r="F82" s="20" t="n">
        <v>130</v>
      </c>
    </row>
    <row r="83">
      <c r="A83" s="17" t="n">
        <v>46111</v>
      </c>
      <c r="B83" s="13" t="inlineStr">
        <is>
          <t>пн</t>
        </is>
      </c>
      <c r="C83" s="13" t="inlineStr">
        <is>
          <t>Внесение мин.удобрений №2</t>
        </is>
      </c>
      <c r="D83" s="13" t="inlineStr">
        <is>
          <t>Рапс озимый</t>
        </is>
      </c>
      <c r="E83" s="13" t="inlineStr">
        <is>
          <t>ГРК</t>
        </is>
      </c>
      <c r="F83" s="20" t="n">
        <v>251</v>
      </c>
    </row>
    <row r="84">
      <c r="A84" s="17" t="n">
        <v>46111</v>
      </c>
      <c r="B84" s="13" t="inlineStr">
        <is>
          <t>пн</t>
        </is>
      </c>
      <c r="C84" s="13" t="inlineStr">
        <is>
          <t>Культивация№2</t>
        </is>
      </c>
      <c r="D84" s="13" t="inlineStr">
        <is>
          <t>Подсолнечник гибридный</t>
        </is>
      </c>
      <c r="E84" s="13" t="inlineStr">
        <is>
          <t>ГРК</t>
        </is>
      </c>
      <c r="F84" s="20" t="n">
        <v>15</v>
      </c>
    </row>
    <row r="85">
      <c r="A85" s="17" t="n">
        <v>46111</v>
      </c>
      <c r="B85" s="13" t="inlineStr">
        <is>
          <t>пн</t>
        </is>
      </c>
      <c r="C85" s="13" t="inlineStr">
        <is>
          <t>Предпосевная культивация</t>
        </is>
      </c>
      <c r="D85" s="13" t="inlineStr">
        <is>
          <t>Горох овощной (полив)</t>
        </is>
      </c>
      <c r="E85" s="13" t="inlineStr">
        <is>
          <t>ГРК</t>
        </is>
      </c>
      <c r="F85" s="20" t="n">
        <v>42</v>
      </c>
    </row>
    <row r="86">
      <c r="A86" s="17" t="n">
        <v>46111</v>
      </c>
      <c r="B86" s="13" t="inlineStr">
        <is>
          <t>пн</t>
        </is>
      </c>
      <c r="C86" s="13" t="inlineStr">
        <is>
          <t>Сев горошка</t>
        </is>
      </c>
      <c r="D86" s="13" t="inlineStr">
        <is>
          <t>Горох овощной (богара)</t>
        </is>
      </c>
      <c r="E86" s="13" t="inlineStr">
        <is>
          <t>ГРК</t>
        </is>
      </c>
      <c r="F86" s="20" t="n">
        <v>42</v>
      </c>
    </row>
    <row r="87">
      <c r="A87" s="17" t="n">
        <v>46111</v>
      </c>
      <c r="B87" s="13" t="inlineStr">
        <is>
          <t>пн</t>
        </is>
      </c>
      <c r="C87" s="13" t="inlineStr">
        <is>
          <t>Хим обработка</t>
        </is>
      </c>
      <c r="D87" s="13" t="inlineStr">
        <is>
          <t>Рапс озимый</t>
        </is>
      </c>
      <c r="E87" s="13" t="inlineStr">
        <is>
          <t>ГРК</t>
        </is>
      </c>
      <c r="F87" s="20" t="n">
        <v>90</v>
      </c>
    </row>
    <row r="88">
      <c r="A88" s="17" t="n">
        <v>46113</v>
      </c>
      <c r="B88" s="13" t="inlineStr">
        <is>
          <t>ср</t>
        </is>
      </c>
      <c r="C88" s="13" t="inlineStr">
        <is>
          <t>Сев горошка</t>
        </is>
      </c>
      <c r="D88" s="13" t="inlineStr">
        <is>
          <t>Горох овощной (богара)</t>
        </is>
      </c>
      <c r="E88" s="13" t="inlineStr">
        <is>
          <t>ГРК</t>
        </is>
      </c>
      <c r="F88" s="20" t="n">
        <v>25</v>
      </c>
    </row>
    <row r="89">
      <c r="A89" s="17" t="n">
        <v>46113</v>
      </c>
      <c r="B89" s="13" t="inlineStr">
        <is>
          <t>ср</t>
        </is>
      </c>
      <c r="C89" s="13" t="inlineStr">
        <is>
          <t>Сев горошка</t>
        </is>
      </c>
      <c r="D89" s="13" t="inlineStr">
        <is>
          <t>Горох овощной (полив)</t>
        </is>
      </c>
      <c r="E89" s="13" t="inlineStr">
        <is>
          <t>ГРК</t>
        </is>
      </c>
      <c r="F89" s="20" t="n">
        <v>20</v>
      </c>
    </row>
    <row r="90">
      <c r="A90" s="17" t="n">
        <v>46113</v>
      </c>
      <c r="B90" s="13" t="inlineStr">
        <is>
          <t>ср</t>
        </is>
      </c>
      <c r="C90" s="13" t="inlineStr">
        <is>
          <t>Хим обработка</t>
        </is>
      </c>
      <c r="D90" s="13" t="inlineStr">
        <is>
          <t>Пшеница озимая</t>
        </is>
      </c>
      <c r="E90" s="13" t="inlineStr">
        <is>
          <t>ГРК</t>
        </is>
      </c>
      <c r="F90" s="20" t="n">
        <v>75</v>
      </c>
    </row>
    <row r="91">
      <c r="A91" s="17" t="n">
        <v>46113</v>
      </c>
      <c r="B91" s="13" t="inlineStr">
        <is>
          <t>ср</t>
        </is>
      </c>
      <c r="C91" s="13" t="inlineStr">
        <is>
          <t>Хим обработка</t>
        </is>
      </c>
      <c r="D91" s="13" t="inlineStr">
        <is>
          <t>Рапс озимый</t>
        </is>
      </c>
      <c r="E91" s="13" t="inlineStr">
        <is>
          <t>ГРК</t>
        </is>
      </c>
      <c r="F91" s="20" t="n">
        <v>31</v>
      </c>
    </row>
    <row r="92">
      <c r="A92" s="17" t="n">
        <v>46113</v>
      </c>
      <c r="B92" s="13" t="inlineStr">
        <is>
          <t>ср</t>
        </is>
      </c>
      <c r="C92" s="13" t="inlineStr">
        <is>
          <t>Хим обработка №2</t>
        </is>
      </c>
      <c r="D92" s="13" t="inlineStr">
        <is>
          <t>Рапс озимый</t>
        </is>
      </c>
      <c r="E92" s="13" t="inlineStr">
        <is>
          <t>ГРК</t>
        </is>
      </c>
      <c r="F92" s="20" t="n">
        <v>65</v>
      </c>
    </row>
    <row r="93">
      <c r="A93" s="17" t="n">
        <v>46114</v>
      </c>
      <c r="B93" s="13" t="inlineStr">
        <is>
          <t>чт</t>
        </is>
      </c>
      <c r="C93" s="13" t="inlineStr">
        <is>
          <t>Предпосевная культивация</t>
        </is>
      </c>
      <c r="D93" s="13" t="inlineStr">
        <is>
          <t>Горох овощной (полив)</t>
        </is>
      </c>
      <c r="E93" s="13" t="inlineStr">
        <is>
          <t>ГРК</t>
        </is>
      </c>
      <c r="F93" s="20" t="n">
        <v>58</v>
      </c>
    </row>
    <row r="94">
      <c r="A94" s="17" t="n">
        <v>46114</v>
      </c>
      <c r="B94" s="13" t="inlineStr">
        <is>
          <t>чт</t>
        </is>
      </c>
      <c r="C94" s="13" t="inlineStr">
        <is>
          <t>Предпосевная культивация</t>
        </is>
      </c>
      <c r="D94" s="13" t="inlineStr">
        <is>
          <t>Подсолнечник</t>
        </is>
      </c>
      <c r="E94" s="13" t="inlineStr">
        <is>
          <t>ГРК</t>
        </is>
      </c>
      <c r="F94" s="20" t="n">
        <v>152</v>
      </c>
    </row>
    <row r="95">
      <c r="A95" s="17" t="n">
        <v>46114</v>
      </c>
      <c r="B95" s="13" t="inlineStr">
        <is>
          <t>чт</t>
        </is>
      </c>
      <c r="C95" s="13" t="inlineStr">
        <is>
          <t>Сев горошка</t>
        </is>
      </c>
      <c r="D95" s="13" t="inlineStr">
        <is>
          <t>Горох овощной (богара)</t>
        </is>
      </c>
      <c r="E95" s="13" t="inlineStr">
        <is>
          <t>ГРК</t>
        </is>
      </c>
      <c r="F95" s="20" t="n">
        <v>56</v>
      </c>
    </row>
    <row r="96">
      <c r="A96" s="17" t="n">
        <v>46114</v>
      </c>
      <c r="B96" s="13" t="inlineStr">
        <is>
          <t>чт</t>
        </is>
      </c>
      <c r="C96" s="13" t="inlineStr">
        <is>
          <t>Хим обработка</t>
        </is>
      </c>
      <c r="D96" s="13" t="inlineStr">
        <is>
          <t>Пшеница озимая</t>
        </is>
      </c>
      <c r="E96" s="13" t="inlineStr">
        <is>
          <t>ГРК</t>
        </is>
      </c>
      <c r="F96" s="20" t="n">
        <v>164</v>
      </c>
    </row>
    <row r="97">
      <c r="A97" s="17" t="n">
        <v>46114</v>
      </c>
      <c r="B97" s="13" t="inlineStr">
        <is>
          <t>чт</t>
        </is>
      </c>
      <c r="C97" s="13" t="inlineStr">
        <is>
          <t>Хим обработка №2</t>
        </is>
      </c>
      <c r="D97" s="13" t="inlineStr">
        <is>
          <t>Рапс озимый</t>
        </is>
      </c>
      <c r="E97" s="13" t="inlineStr">
        <is>
          <t>ГРК</t>
        </is>
      </c>
      <c r="F97" s="20" t="n">
        <v>186</v>
      </c>
    </row>
    <row r="98">
      <c r="A98" s="17" t="n">
        <v>46116</v>
      </c>
      <c r="B98" s="13" t="inlineStr">
        <is>
          <t>сб</t>
        </is>
      </c>
      <c r="C98" s="13" t="inlineStr">
        <is>
          <t>Предпосевная культивация</t>
        </is>
      </c>
      <c r="D98" s="13" t="inlineStr">
        <is>
          <t>Подсолнечник</t>
        </is>
      </c>
      <c r="E98" s="13" t="inlineStr">
        <is>
          <t>ГРК</t>
        </is>
      </c>
      <c r="F98" s="20" t="n">
        <v>121</v>
      </c>
    </row>
    <row r="99">
      <c r="A99" s="17" t="n">
        <v>46116</v>
      </c>
      <c r="B99" s="13" t="inlineStr">
        <is>
          <t>сб</t>
        </is>
      </c>
      <c r="C99" s="13" t="inlineStr">
        <is>
          <t>Сев горошка</t>
        </is>
      </c>
      <c r="D99" s="13" t="inlineStr">
        <is>
          <t>Горох овощной (полив)</t>
        </is>
      </c>
      <c r="E99" s="13" t="inlineStr">
        <is>
          <t>ГРК</t>
        </is>
      </c>
      <c r="F99" s="20" t="n">
        <v>25</v>
      </c>
    </row>
    <row r="100">
      <c r="A100" s="17" t="n">
        <v>46116</v>
      </c>
      <c r="B100" s="13" t="inlineStr">
        <is>
          <t>сб</t>
        </is>
      </c>
      <c r="C100" s="13" t="inlineStr">
        <is>
          <t>Хим обработка</t>
        </is>
      </c>
      <c r="D100" s="13" t="inlineStr">
        <is>
          <t>Пшеница озимая</t>
        </is>
      </c>
      <c r="E100" s="13" t="inlineStr">
        <is>
          <t>ГРК</t>
        </is>
      </c>
      <c r="F100" s="20" t="n">
        <v>237</v>
      </c>
    </row>
    <row r="101">
      <c r="A101" s="17" t="n">
        <v>46117</v>
      </c>
      <c r="B101" s="13" t="inlineStr">
        <is>
          <t>вс</t>
        </is>
      </c>
      <c r="C101" s="13" t="inlineStr">
        <is>
          <t>Предпосевная культивация</t>
        </is>
      </c>
      <c r="D101" s="13" t="inlineStr">
        <is>
          <t>Подсолнечник товарный</t>
        </is>
      </c>
      <c r="E101" s="13" t="inlineStr">
        <is>
          <t>ГРК</t>
        </is>
      </c>
      <c r="F101" s="20" t="n">
        <v>47</v>
      </c>
    </row>
    <row r="102">
      <c r="A102" s="17" t="n">
        <v>46117</v>
      </c>
      <c r="B102" s="13" t="inlineStr">
        <is>
          <t>вс</t>
        </is>
      </c>
      <c r="C102" s="13" t="inlineStr">
        <is>
          <t>Сев горошка</t>
        </is>
      </c>
      <c r="D102" s="13" t="inlineStr">
        <is>
          <t>Горох овощной (полив)</t>
        </is>
      </c>
      <c r="E102" s="13" t="inlineStr">
        <is>
          <t>АгроЛидер</t>
        </is>
      </c>
      <c r="F102" s="20" t="n">
        <v>58</v>
      </c>
    </row>
    <row r="103">
      <c r="A103" s="17" t="n">
        <v>46117</v>
      </c>
      <c r="B103" s="13" t="inlineStr">
        <is>
          <t>вс</t>
        </is>
      </c>
      <c r="C103" s="13" t="inlineStr">
        <is>
          <t>Сев горошка</t>
        </is>
      </c>
      <c r="D103" s="13" t="inlineStr">
        <is>
          <t>Горох овощной (полив)</t>
        </is>
      </c>
      <c r="E103" s="13" t="inlineStr">
        <is>
          <t>ГРК</t>
        </is>
      </c>
      <c r="F103" s="20" t="n">
        <v>69</v>
      </c>
    </row>
    <row r="104">
      <c r="A104" s="17" t="n">
        <v>46117</v>
      </c>
      <c r="B104" s="13" t="inlineStr">
        <is>
          <t>вс</t>
        </is>
      </c>
      <c r="C104" s="13" t="inlineStr">
        <is>
          <t>Сев зерновых</t>
        </is>
      </c>
      <c r="D104" s="13" t="inlineStr">
        <is>
          <t>Подсолнечник товарный</t>
        </is>
      </c>
      <c r="E104" s="13" t="inlineStr">
        <is>
          <t>ГРК</t>
        </is>
      </c>
      <c r="F104" s="20" t="n">
        <v>80</v>
      </c>
    </row>
    <row r="105">
      <c r="A105" s="17" t="n">
        <v>46117</v>
      </c>
      <c r="B105" s="13" t="inlineStr">
        <is>
          <t>вс</t>
        </is>
      </c>
      <c r="C105" s="13" t="inlineStr">
        <is>
          <t>Хим обработка</t>
        </is>
      </c>
      <c r="D105" s="13" t="inlineStr">
        <is>
          <t>Горох овощной (богара)</t>
        </is>
      </c>
      <c r="E105" s="13" t="inlineStr">
        <is>
          <t>ГРК</t>
        </is>
      </c>
      <c r="F105" s="20" t="n">
        <v>144</v>
      </c>
    </row>
    <row r="106">
      <c r="A106" s="17" t="n">
        <v>46117</v>
      </c>
      <c r="B106" s="13" t="inlineStr">
        <is>
          <t>вс</t>
        </is>
      </c>
      <c r="C106" s="13" t="inlineStr">
        <is>
          <t>Хим обработка</t>
        </is>
      </c>
      <c r="D106" s="13" t="inlineStr">
        <is>
          <t>Подсонечниик</t>
        </is>
      </c>
      <c r="E106" s="13" t="inlineStr">
        <is>
          <t>ГРК</t>
        </is>
      </c>
      <c r="F106" s="20" t="n">
        <v>165</v>
      </c>
    </row>
    <row r="107">
      <c r="A107" s="17" t="n">
        <v>46117</v>
      </c>
      <c r="B107" s="13" t="inlineStr">
        <is>
          <t>вс</t>
        </is>
      </c>
      <c r="C107" s="13" t="inlineStr">
        <is>
          <t>Хим обработка</t>
        </is>
      </c>
      <c r="D107" s="13" t="inlineStr">
        <is>
          <t>Пшеница озимая</t>
        </is>
      </c>
      <c r="E107" s="13" t="inlineStr">
        <is>
          <t>ГРК</t>
        </is>
      </c>
      <c r="F107" s="20" t="n">
        <v>241</v>
      </c>
    </row>
    <row r="108">
      <c r="A108" s="17" t="n">
        <v>46118</v>
      </c>
      <c r="B108" s="13" t="inlineStr">
        <is>
          <t>пн</t>
        </is>
      </c>
      <c r="C108" s="13" t="inlineStr">
        <is>
          <t>Предпосевная культивация</t>
        </is>
      </c>
      <c r="D108" s="13" t="inlineStr">
        <is>
          <t>Подсолнечник</t>
        </is>
      </c>
      <c r="E108" s="13" t="inlineStr">
        <is>
          <t>ГРК</t>
        </is>
      </c>
      <c r="F108" s="20" t="n">
        <v>102</v>
      </c>
    </row>
    <row r="109">
      <c r="A109" s="17" t="n">
        <v>46118</v>
      </c>
      <c r="B109" s="13" t="inlineStr">
        <is>
          <t>пн</t>
        </is>
      </c>
      <c r="C109" s="13" t="inlineStr">
        <is>
          <t>Предпосевная культивация</t>
        </is>
      </c>
      <c r="D109" s="13" t="inlineStr">
        <is>
          <t>Подсолнечник товарный</t>
        </is>
      </c>
      <c r="E109" s="13" t="inlineStr">
        <is>
          <t>ГРК</t>
        </is>
      </c>
      <c r="F109" s="20" t="n">
        <v>170</v>
      </c>
    </row>
    <row r="110">
      <c r="A110" s="17" t="n">
        <v>46118</v>
      </c>
      <c r="B110" s="13" t="inlineStr">
        <is>
          <t>пн</t>
        </is>
      </c>
      <c r="C110" s="13" t="inlineStr">
        <is>
          <t>Сев горошка</t>
        </is>
      </c>
      <c r="D110" s="13" t="inlineStr">
        <is>
          <t>Горох овощной (полив)</t>
        </is>
      </c>
      <c r="E110" s="13" t="inlineStr">
        <is>
          <t>АгроЛидер</t>
        </is>
      </c>
      <c r="F110" s="20" t="n">
        <v>43</v>
      </c>
    </row>
    <row r="111">
      <c r="A111" s="17" t="n">
        <v>46118</v>
      </c>
      <c r="B111" s="13" t="inlineStr">
        <is>
          <t>пн</t>
        </is>
      </c>
      <c r="C111" s="13" t="inlineStr">
        <is>
          <t>Сев горошка</t>
        </is>
      </c>
      <c r="D111" s="13" t="inlineStr">
        <is>
          <t>Горох овощной (полив)</t>
        </is>
      </c>
      <c r="E111" s="13" t="inlineStr">
        <is>
          <t>ГРК</t>
        </is>
      </c>
      <c r="F111" s="20" t="n">
        <v>39</v>
      </c>
    </row>
    <row r="112">
      <c r="A112" s="17" t="n">
        <v>46118</v>
      </c>
      <c r="B112" s="13" t="inlineStr">
        <is>
          <t>пн</t>
        </is>
      </c>
      <c r="C112" s="13" t="inlineStr">
        <is>
          <t>Сев зерновых</t>
        </is>
      </c>
      <c r="D112" s="13" t="inlineStr">
        <is>
          <t>Подсолнечник товарный</t>
        </is>
      </c>
      <c r="E112" s="13" t="inlineStr">
        <is>
          <t>ГРК</t>
        </is>
      </c>
      <c r="F112" s="20" t="n">
        <v>160</v>
      </c>
    </row>
    <row r="113">
      <c r="A113" s="17" t="n">
        <v>46118</v>
      </c>
      <c r="B113" s="13" t="inlineStr">
        <is>
          <t>пн</t>
        </is>
      </c>
      <c r="C113" s="13" t="inlineStr">
        <is>
          <t>Хим обработка</t>
        </is>
      </c>
      <c r="D113" s="13" t="inlineStr">
        <is>
          <t>Пшеница озимая</t>
        </is>
      </c>
      <c r="E113" s="13" t="inlineStr">
        <is>
          <t>ГРК</t>
        </is>
      </c>
      <c r="F113" s="20" t="n">
        <v>381</v>
      </c>
    </row>
    <row r="114">
      <c r="A114" s="17" t="n">
        <v>46119</v>
      </c>
      <c r="B114" s="13" t="inlineStr">
        <is>
          <t>вт</t>
        </is>
      </c>
      <c r="C114" s="13" t="inlineStr">
        <is>
          <t>Предпосевная культивация</t>
        </is>
      </c>
      <c r="D114" s="13" t="inlineStr">
        <is>
          <t>Подсолнечник</t>
        </is>
      </c>
      <c r="E114" s="13" t="inlineStr">
        <is>
          <t>ГРК</t>
        </is>
      </c>
      <c r="F114" s="20" t="n">
        <v>111</v>
      </c>
    </row>
    <row r="115">
      <c r="A115" s="17" t="n">
        <v>46119</v>
      </c>
      <c r="B115" s="13" t="inlineStr">
        <is>
          <t>вт</t>
        </is>
      </c>
      <c r="C115" s="13" t="inlineStr">
        <is>
          <t>Предпосевная культивация</t>
        </is>
      </c>
      <c r="D115" s="13" t="inlineStr">
        <is>
          <t>Подсолнечник товарный</t>
        </is>
      </c>
      <c r="E115" s="13" t="inlineStr">
        <is>
          <t>ГРК</t>
        </is>
      </c>
      <c r="F115" s="20" t="n">
        <v>18</v>
      </c>
    </row>
    <row r="116">
      <c r="A116" s="17" t="n">
        <v>46119</v>
      </c>
      <c r="B116" s="13" t="inlineStr">
        <is>
          <t>вт</t>
        </is>
      </c>
      <c r="C116" s="13" t="inlineStr">
        <is>
          <t>Сев горошка</t>
        </is>
      </c>
      <c r="D116" s="13" t="inlineStr">
        <is>
          <t>Горох овощной (богара)</t>
        </is>
      </c>
      <c r="E116" s="13" t="inlineStr">
        <is>
          <t>ГРК</t>
        </is>
      </c>
      <c r="F116" s="20" t="n">
        <v>11</v>
      </c>
    </row>
    <row r="117">
      <c r="A117" s="17" t="n">
        <v>46119</v>
      </c>
      <c r="B117" s="13" t="inlineStr">
        <is>
          <t>вт</t>
        </is>
      </c>
      <c r="C117" s="13" t="inlineStr">
        <is>
          <t>Сев горошка</t>
        </is>
      </c>
      <c r="D117" s="13" t="inlineStr">
        <is>
          <t>Горох овощной (полив)</t>
        </is>
      </c>
      <c r="E117" s="13" t="inlineStr">
        <is>
          <t>АгроЛидер</t>
        </is>
      </c>
      <c r="F117" s="20" t="n">
        <v>42</v>
      </c>
    </row>
    <row r="118">
      <c r="A118" s="17" t="n">
        <v>46119</v>
      </c>
      <c r="B118" s="13" t="inlineStr">
        <is>
          <t>вт</t>
        </is>
      </c>
      <c r="C118" s="13" t="inlineStr">
        <is>
          <t>Сев зерновых</t>
        </is>
      </c>
      <c r="D118" s="13" t="inlineStr">
        <is>
          <t>Подсолнечник товарный</t>
        </is>
      </c>
      <c r="E118" s="13" t="inlineStr">
        <is>
          <t>ГРК</t>
        </is>
      </c>
      <c r="F118" s="20" t="n">
        <v>7</v>
      </c>
    </row>
    <row r="119">
      <c r="A119" s="17" t="n">
        <v>46123</v>
      </c>
      <c r="B119" s="13" t="inlineStr">
        <is>
          <t>сб</t>
        </is>
      </c>
      <c r="C119" s="13" t="inlineStr">
        <is>
          <t>Хим обработка</t>
        </is>
      </c>
      <c r="D119" s="13" t="inlineStr">
        <is>
          <t>Пшеница озимая</t>
        </is>
      </c>
      <c r="E119" s="13" t="inlineStr">
        <is>
          <t>ГРК</t>
        </is>
      </c>
      <c r="F119" s="20" t="n">
        <v>170</v>
      </c>
    </row>
    <row r="120">
      <c r="A120" s="17" t="n">
        <v>46125</v>
      </c>
      <c r="B120" s="13" t="inlineStr">
        <is>
          <t>пн</t>
        </is>
      </c>
      <c r="C120" s="13" t="inlineStr">
        <is>
          <t>Хим обработка</t>
        </is>
      </c>
      <c r="D120" s="13" t="inlineStr">
        <is>
          <t>Пшеница озимая</t>
        </is>
      </c>
      <c r="E120" s="13" t="inlineStr">
        <is>
          <t>ГРК</t>
        </is>
      </c>
      <c r="F120" s="20" t="n">
        <v>358</v>
      </c>
    </row>
    <row r="121">
      <c r="A121" s="17" t="n">
        <v>46126</v>
      </c>
      <c r="B121" s="13" t="inlineStr">
        <is>
          <t>вт</t>
        </is>
      </c>
      <c r="C121" s="13" t="inlineStr">
        <is>
          <t>Предпосевная культивация</t>
        </is>
      </c>
      <c r="D121" s="13" t="inlineStr">
        <is>
          <t>Подсолнечник товарный</t>
        </is>
      </c>
      <c r="E121" s="13" t="inlineStr">
        <is>
          <t>ГРК</t>
        </is>
      </c>
      <c r="F121" s="20" t="n">
        <v>162</v>
      </c>
    </row>
    <row r="122">
      <c r="A122" s="17" t="n">
        <v>46126</v>
      </c>
      <c r="B122" s="13" t="inlineStr">
        <is>
          <t>вт</t>
        </is>
      </c>
      <c r="C122" s="13" t="inlineStr">
        <is>
          <t>Сев зерновых</t>
        </is>
      </c>
      <c r="D122" s="13" t="inlineStr">
        <is>
          <t>Подсолнечник товарный</t>
        </is>
      </c>
      <c r="E122" s="13" t="inlineStr">
        <is>
          <t>ГРК</t>
        </is>
      </c>
      <c r="F122" s="20" t="n">
        <v>161</v>
      </c>
    </row>
    <row r="123">
      <c r="A123" s="17" t="n">
        <v>46126</v>
      </c>
      <c r="B123" s="13" t="inlineStr">
        <is>
          <t>вт</t>
        </is>
      </c>
      <c r="C123" s="13" t="inlineStr">
        <is>
          <t>Хим обработка</t>
        </is>
      </c>
      <c r="D123" s="13" t="inlineStr">
        <is>
          <t>Пшеница озимая</t>
        </is>
      </c>
      <c r="E123" s="13" t="inlineStr">
        <is>
          <t>ГРК</t>
        </is>
      </c>
      <c r="F123" s="20" t="n">
        <v>299</v>
      </c>
    </row>
    <row r="124">
      <c r="A124" s="17" t="n">
        <v>46127</v>
      </c>
      <c r="B124" s="13" t="inlineStr">
        <is>
          <t>ср</t>
        </is>
      </c>
      <c r="C124" s="13" t="inlineStr">
        <is>
          <t>Предпосевная культивация</t>
        </is>
      </c>
      <c r="D124" s="13" t="inlineStr">
        <is>
          <t>Подсолнечник товарный</t>
        </is>
      </c>
      <c r="E124" s="13" t="inlineStr">
        <is>
          <t>ГРК</t>
        </is>
      </c>
      <c r="F124" s="20" t="n">
        <v>150</v>
      </c>
    </row>
    <row r="125">
      <c r="A125" s="17" t="n">
        <v>46127</v>
      </c>
      <c r="B125" s="13" t="inlineStr">
        <is>
          <t>ср</t>
        </is>
      </c>
      <c r="C125" s="13" t="inlineStr">
        <is>
          <t>Сев горошка</t>
        </is>
      </c>
      <c r="D125" s="13" t="inlineStr">
        <is>
          <t>Горох овощной (полив)</t>
        </is>
      </c>
      <c r="E125" s="13" t="inlineStr">
        <is>
          <t>АгроЛидер</t>
        </is>
      </c>
      <c r="F125" s="20" t="n">
        <v>70</v>
      </c>
    </row>
    <row r="126">
      <c r="A126" s="17" t="n">
        <v>46127</v>
      </c>
      <c r="B126" s="13" t="inlineStr">
        <is>
          <t>ср</t>
        </is>
      </c>
      <c r="C126" s="13" t="inlineStr">
        <is>
          <t>Сев зерновых</t>
        </is>
      </c>
      <c r="D126" s="13" t="inlineStr">
        <is>
          <t>Подсолнечник товарный</t>
        </is>
      </c>
      <c r="E126" s="13" t="inlineStr">
        <is>
          <t>ГРК</t>
        </is>
      </c>
      <c r="F126" s="20" t="n">
        <v>195</v>
      </c>
    </row>
    <row r="127">
      <c r="A127" s="17" t="n">
        <v>46127</v>
      </c>
      <c r="B127" s="13" t="inlineStr">
        <is>
          <t>ср</t>
        </is>
      </c>
      <c r="C127" s="13" t="inlineStr">
        <is>
          <t>Хим обработка</t>
        </is>
      </c>
      <c r="D127" s="13" t="inlineStr">
        <is>
          <t>Пшеница озимая</t>
        </is>
      </c>
      <c r="E127" s="13" t="inlineStr">
        <is>
          <t>ГРК</t>
        </is>
      </c>
      <c r="F127" s="20" t="n">
        <v>392</v>
      </c>
    </row>
    <row r="128">
      <c r="A128" s="17" t="n">
        <v>46128</v>
      </c>
      <c r="B128" s="13" t="inlineStr">
        <is>
          <t>чт</t>
        </is>
      </c>
      <c r="C128" s="13" t="inlineStr">
        <is>
          <t>Сев горошка</t>
        </is>
      </c>
      <c r="D128" s="13" t="inlineStr">
        <is>
          <t>Горох овощной (полив)</t>
        </is>
      </c>
      <c r="E128" s="13" t="inlineStr">
        <is>
          <t>АгроЛидер</t>
        </is>
      </c>
      <c r="F128" s="20" t="n">
        <v>56</v>
      </c>
    </row>
    <row r="129">
      <c r="A129" s="17" t="n">
        <v>46128</v>
      </c>
      <c r="B129" s="13" t="inlineStr">
        <is>
          <t>чт</t>
        </is>
      </c>
      <c r="C129" s="13" t="inlineStr">
        <is>
          <t>Сев зерновых</t>
        </is>
      </c>
      <c r="D129" s="13" t="inlineStr">
        <is>
          <t>Подсолнечник товарный</t>
        </is>
      </c>
      <c r="E129" s="13" t="inlineStr">
        <is>
          <t>ГРК</t>
        </is>
      </c>
      <c r="F129" s="20" t="n">
        <v>198</v>
      </c>
    </row>
    <row r="130">
      <c r="A130" s="17" t="n">
        <v>46128</v>
      </c>
      <c r="B130" s="13" t="inlineStr">
        <is>
          <t>чт</t>
        </is>
      </c>
      <c r="C130" s="13" t="inlineStr">
        <is>
          <t>Хим обработка</t>
        </is>
      </c>
      <c r="D130" s="13" t="inlineStr">
        <is>
          <t>Пшеница озимая</t>
        </is>
      </c>
      <c r="E130" s="13" t="inlineStr">
        <is>
          <t>ГРК</t>
        </is>
      </c>
      <c r="F130" s="20" t="n">
        <v>160</v>
      </c>
    </row>
    <row r="131">
      <c r="A131" s="17" t="n">
        <v>46128</v>
      </c>
      <c r="B131" s="13" t="inlineStr">
        <is>
          <t>чт</t>
        </is>
      </c>
      <c r="C131" s="13" t="inlineStr">
        <is>
          <t>Хим обработка</t>
        </is>
      </c>
      <c r="D131" s="13" t="inlineStr">
        <is>
          <t>Пшеница озимая</t>
        </is>
      </c>
      <c r="E131" s="13" t="inlineStr">
        <is>
          <t>ГРК</t>
        </is>
      </c>
      <c r="F131" s="20" t="n">
        <v>184</v>
      </c>
    </row>
    <row r="132">
      <c r="A132" s="17" t="n">
        <v>46129</v>
      </c>
      <c r="B132" s="13" t="inlineStr">
        <is>
          <t>пт</t>
        </is>
      </c>
      <c r="C132" s="13" t="inlineStr">
        <is>
          <t>Сев горошка</t>
        </is>
      </c>
      <c r="D132" s="13" t="inlineStr">
        <is>
          <t>Горох овощной (полив)</t>
        </is>
      </c>
      <c r="E132" s="13" t="inlineStr">
        <is>
          <t>Колос</t>
        </is>
      </c>
      <c r="F132" s="20" t="n">
        <v>50</v>
      </c>
    </row>
    <row r="133">
      <c r="A133" s="17" t="n">
        <v>46129</v>
      </c>
      <c r="B133" s="13" t="inlineStr">
        <is>
          <t>пт</t>
        </is>
      </c>
      <c r="C133" s="13" t="inlineStr">
        <is>
          <t>Сев зерновых</t>
        </is>
      </c>
      <c r="D133" s="13" t="inlineStr">
        <is>
          <t>Подсолнечник товарный</t>
        </is>
      </c>
      <c r="E133" s="13" t="inlineStr">
        <is>
          <t>ГРК</t>
        </is>
      </c>
      <c r="F133" s="20" t="n">
        <v>90</v>
      </c>
    </row>
    <row r="134">
      <c r="A134" s="17" t="n">
        <v>46129</v>
      </c>
      <c r="B134" s="13" t="inlineStr">
        <is>
          <t>пт</t>
        </is>
      </c>
      <c r="C134" s="13" t="inlineStr">
        <is>
          <t>Хим обработка</t>
        </is>
      </c>
      <c r="D134" s="13" t="inlineStr">
        <is>
          <t>Пшеница озимая</t>
        </is>
      </c>
      <c r="E134" s="13" t="inlineStr">
        <is>
          <t>ГРК</t>
        </is>
      </c>
      <c r="F134" s="20" t="n">
        <v>55</v>
      </c>
    </row>
    <row r="135">
      <c r="A135" s="17" t="n">
        <v>46129</v>
      </c>
      <c r="B135" s="13" t="inlineStr">
        <is>
          <t>пт</t>
        </is>
      </c>
      <c r="C135" s="13" t="inlineStr">
        <is>
          <t>Хим обработка</t>
        </is>
      </c>
      <c r="D135" s="13" t="inlineStr">
        <is>
          <t>Пшеница озимая</t>
        </is>
      </c>
      <c r="E135" s="13" t="inlineStr">
        <is>
          <t>ГРК</t>
        </is>
      </c>
      <c r="F135" s="20" t="n">
        <v>153</v>
      </c>
    </row>
    <row r="136">
      <c r="A136" s="17" t="n">
        <v>46129</v>
      </c>
      <c r="B136" s="13" t="inlineStr">
        <is>
          <t>пт</t>
        </is>
      </c>
      <c r="C136" s="13" t="inlineStr">
        <is>
          <t>Хим обработка №2</t>
        </is>
      </c>
      <c r="D136" s="13" t="inlineStr">
        <is>
          <t>Рапс озимый</t>
        </is>
      </c>
      <c r="E136" s="13" t="inlineStr">
        <is>
          <t>ГРК</t>
        </is>
      </c>
      <c r="F136" s="20" t="n">
        <v>173</v>
      </c>
    </row>
    <row r="137">
      <c r="A137" s="17" t="n">
        <v>46130</v>
      </c>
      <c r="B137" s="13" t="inlineStr">
        <is>
          <t>сб</t>
        </is>
      </c>
      <c r="C137" s="13" t="inlineStr">
        <is>
          <t>Культивация№1</t>
        </is>
      </c>
      <c r="D137" s="13" t="inlineStr">
        <is>
          <t>Горох овощной (полив)</t>
        </is>
      </c>
      <c r="E137" s="13" t="inlineStr">
        <is>
          <t>ГРК</t>
        </is>
      </c>
      <c r="F137" s="20" t="n">
        <v>39</v>
      </c>
    </row>
    <row r="138">
      <c r="A138" s="17" t="n">
        <v>46130</v>
      </c>
      <c r="B138" s="13" t="inlineStr">
        <is>
          <t>сб</t>
        </is>
      </c>
      <c r="C138" s="13" t="inlineStr">
        <is>
          <t>Культивация№111</t>
        </is>
      </c>
      <c r="D138" s="13" t="inlineStr">
        <is>
          <t>Горох овощной (полив)</t>
        </is>
      </c>
      <c r="E138" s="13" t="inlineStr">
        <is>
          <t>ГРК</t>
        </is>
      </c>
      <c r="F138" s="20" t="n">
        <v>39</v>
      </c>
    </row>
    <row r="139">
      <c r="A139" s="17" t="n">
        <v>46130</v>
      </c>
      <c r="B139" s="13" t="inlineStr">
        <is>
          <t>сб</t>
        </is>
      </c>
      <c r="C139" s="13" t="inlineStr">
        <is>
          <t>Предпосевная культивация</t>
        </is>
      </c>
      <c r="D139" s="13" t="inlineStr">
        <is>
          <t>Горох овощной (полив)</t>
        </is>
      </c>
      <c r="E139" s="13" t="inlineStr">
        <is>
          <t>ГРК</t>
        </is>
      </c>
      <c r="F139" s="20" t="n">
        <v>40</v>
      </c>
    </row>
    <row r="140">
      <c r="A140" s="17" t="n">
        <v>46130</v>
      </c>
      <c r="B140" s="13" t="inlineStr">
        <is>
          <t>сб</t>
        </is>
      </c>
      <c r="C140" s="13" t="inlineStr">
        <is>
          <t>Предпосевная культивация</t>
        </is>
      </c>
      <c r="D140" s="13" t="inlineStr">
        <is>
          <t>Кукуруза на зерно</t>
        </is>
      </c>
      <c r="E140" s="13" t="inlineStr">
        <is>
          <t>ГРК</t>
        </is>
      </c>
      <c r="F140" s="20" t="n">
        <v>237</v>
      </c>
    </row>
    <row r="141">
      <c r="A141" s="17" t="n">
        <v>46130</v>
      </c>
      <c r="B141" s="13" t="inlineStr">
        <is>
          <t>сб</t>
        </is>
      </c>
      <c r="C141" s="13" t="inlineStr">
        <is>
          <t>Сев горошка</t>
        </is>
      </c>
      <c r="D141" s="13" t="inlineStr">
        <is>
          <t>Горох овощной (полив)</t>
        </is>
      </c>
      <c r="E141" s="13" t="inlineStr">
        <is>
          <t>Колос</t>
        </is>
      </c>
      <c r="F141" s="20" t="n">
        <v>44</v>
      </c>
    </row>
    <row r="142">
      <c r="A142" s="17" t="n">
        <v>46130</v>
      </c>
      <c r="B142" s="13" t="inlineStr">
        <is>
          <t>сб</t>
        </is>
      </c>
      <c r="C142" s="13" t="inlineStr">
        <is>
          <t>Сев зерновых</t>
        </is>
      </c>
      <c r="D142" s="13" t="inlineStr">
        <is>
          <t>Кукуруза на зерно</t>
        </is>
      </c>
      <c r="E142" s="13" t="inlineStr">
        <is>
          <t>ГРК</t>
        </is>
      </c>
      <c r="F142" s="20" t="n">
        <v>143</v>
      </c>
    </row>
    <row r="143">
      <c r="A143" s="17" t="n">
        <v>46130</v>
      </c>
      <c r="B143" s="13" t="inlineStr">
        <is>
          <t>сб</t>
        </is>
      </c>
      <c r="C143" s="13" t="inlineStr">
        <is>
          <t>Сев зерновых</t>
        </is>
      </c>
      <c r="D143" s="13" t="inlineStr">
        <is>
          <t>Подсолнечник товарный</t>
        </is>
      </c>
      <c r="E143" s="13" t="inlineStr">
        <is>
          <t>ГРК</t>
        </is>
      </c>
      <c r="F143" s="20" t="n">
        <v>19</v>
      </c>
    </row>
    <row r="144">
      <c r="A144" s="17" t="n">
        <v>46130</v>
      </c>
      <c r="B144" s="13" t="inlineStr">
        <is>
          <t>сб</t>
        </is>
      </c>
      <c r="C144" s="13" t="inlineStr">
        <is>
          <t>Хим обработка</t>
        </is>
      </c>
      <c r="D144" s="13" t="inlineStr">
        <is>
          <t>Подсонечниик</t>
        </is>
      </c>
      <c r="E144" s="13" t="inlineStr">
        <is>
          <t>ГРК</t>
        </is>
      </c>
      <c r="F144" s="20" t="n">
        <v>198</v>
      </c>
    </row>
    <row r="145">
      <c r="A145" s="17" t="n">
        <v>46130</v>
      </c>
      <c r="B145" s="13" t="inlineStr">
        <is>
          <t>сб</t>
        </is>
      </c>
      <c r="C145" s="13" t="inlineStr">
        <is>
          <t>Хим обработка</t>
        </is>
      </c>
      <c r="D145" s="13" t="inlineStr">
        <is>
          <t>Пшеница озимая</t>
        </is>
      </c>
      <c r="E145" s="13" t="inlineStr">
        <is>
          <t>ГРК</t>
        </is>
      </c>
      <c r="F145" s="20" t="n">
        <v>182</v>
      </c>
    </row>
    <row r="146">
      <c r="A146" s="17" t="n">
        <v>46131</v>
      </c>
      <c r="B146" s="13" t="inlineStr">
        <is>
          <t>вс</t>
        </is>
      </c>
      <c r="C146" s="13" t="inlineStr">
        <is>
          <t>Культивация№1</t>
        </is>
      </c>
      <c r="D146" s="13" t="inlineStr">
        <is>
          <t>Горох овощной (полив)</t>
        </is>
      </c>
      <c r="E146" s="13" t="inlineStr">
        <is>
          <t>ГРК</t>
        </is>
      </c>
      <c r="F146" s="20" t="n">
        <v>46</v>
      </c>
    </row>
    <row r="147">
      <c r="A147" s="17" t="n">
        <v>46131</v>
      </c>
      <c r="B147" s="13" t="inlineStr">
        <is>
          <t>вс</t>
        </is>
      </c>
      <c r="C147" s="13" t="inlineStr">
        <is>
          <t>Культивация№111</t>
        </is>
      </c>
      <c r="D147" s="13" t="inlineStr">
        <is>
          <t>Горох овощной (полив)</t>
        </is>
      </c>
      <c r="E147" s="13" t="inlineStr">
        <is>
          <t>ГРК</t>
        </is>
      </c>
      <c r="F147" s="20" t="n">
        <v>46</v>
      </c>
    </row>
    <row r="148">
      <c r="A148" s="17" t="n">
        <v>46132</v>
      </c>
      <c r="B148" s="13" t="inlineStr">
        <is>
          <t>пн</t>
        </is>
      </c>
      <c r="C148" s="13" t="inlineStr">
        <is>
          <t>Предпосевная культивация</t>
        </is>
      </c>
      <c r="D148" s="13" t="inlineStr">
        <is>
          <t>Горох овощной (полив)</t>
        </is>
      </c>
      <c r="E148" s="13" t="inlineStr">
        <is>
          <t>ГРК</t>
        </is>
      </c>
      <c r="F148" s="20" t="n">
        <v>62</v>
      </c>
    </row>
    <row r="149">
      <c r="A149" s="17" t="n">
        <v>46132</v>
      </c>
      <c r="B149" s="13" t="inlineStr">
        <is>
          <t>пн</t>
        </is>
      </c>
      <c r="C149" s="13" t="inlineStr">
        <is>
          <t>Сев горошка</t>
        </is>
      </c>
      <c r="D149" s="13" t="inlineStr">
        <is>
          <t>Горох овощной (полив)</t>
        </is>
      </c>
      <c r="E149" s="13" t="inlineStr">
        <is>
          <t>Колос</t>
        </is>
      </c>
      <c r="F149" s="20" t="n">
        <v>102.44</v>
      </c>
    </row>
    <row r="150">
      <c r="A150" s="17" t="n">
        <v>46132</v>
      </c>
      <c r="B150" s="13" t="inlineStr">
        <is>
          <t>пн</t>
        </is>
      </c>
      <c r="C150" s="13" t="inlineStr">
        <is>
          <t>Сев зерновых</t>
        </is>
      </c>
      <c r="D150" s="13" t="inlineStr">
        <is>
          <t>Кукуруза на зерно</t>
        </is>
      </c>
      <c r="E150" s="13" t="inlineStr">
        <is>
          <t>ГРК</t>
        </is>
      </c>
      <c r="F150" s="20" t="n">
        <v>94</v>
      </c>
    </row>
    <row r="151">
      <c r="A151" s="17" t="n">
        <v>46132</v>
      </c>
      <c r="B151" s="13" t="inlineStr">
        <is>
          <t>пн</t>
        </is>
      </c>
      <c r="C151" s="13" t="inlineStr">
        <is>
          <t>Хим обработка</t>
        </is>
      </c>
      <c r="D151" s="13" t="inlineStr">
        <is>
          <t>Горох овощной (богара)</t>
        </is>
      </c>
      <c r="E151" s="13" t="inlineStr">
        <is>
          <t>ГРК</t>
        </is>
      </c>
      <c r="F151" s="20" t="n">
        <v>165</v>
      </c>
    </row>
    <row r="152">
      <c r="A152" s="17" t="n">
        <v>46132</v>
      </c>
      <c r="B152" s="13" t="inlineStr">
        <is>
          <t>пн</t>
        </is>
      </c>
      <c r="C152" s="13" t="inlineStr">
        <is>
          <t>Хим обработка</t>
        </is>
      </c>
      <c r="D152" s="13" t="inlineStr">
        <is>
          <t>Пшеница озимая</t>
        </is>
      </c>
      <c r="E152" s="13" t="inlineStr">
        <is>
          <t>ГРК</t>
        </is>
      </c>
      <c r="F152" s="20" t="n">
        <v>205</v>
      </c>
    </row>
    <row r="153">
      <c r="A153" s="17" t="n">
        <v>46132</v>
      </c>
      <c r="B153" s="13" t="inlineStr">
        <is>
          <t>пн</t>
        </is>
      </c>
      <c r="C153" s="13" t="inlineStr">
        <is>
          <t>Хим обработка №2</t>
        </is>
      </c>
      <c r="D153" s="13" t="inlineStr">
        <is>
          <t>Рапс озимый</t>
        </is>
      </c>
      <c r="E153" s="13" t="inlineStr">
        <is>
          <t>ГРК</t>
        </is>
      </c>
      <c r="F153" s="20" t="n">
        <v>78</v>
      </c>
    </row>
    <row r="154">
      <c r="A154" s="17" t="n">
        <v>46134</v>
      </c>
      <c r="B154" s="13" t="inlineStr">
        <is>
          <t>ср</t>
        </is>
      </c>
      <c r="C154" s="13" t="inlineStr">
        <is>
          <t>Предпосевная культивация</t>
        </is>
      </c>
      <c r="D154" s="13" t="inlineStr">
        <is>
          <t>Горох овощной (полив)</t>
        </is>
      </c>
      <c r="E154" s="13" t="inlineStr">
        <is>
          <t>ГРК</t>
        </is>
      </c>
      <c r="F154" s="20" t="n">
        <v>31</v>
      </c>
    </row>
    <row r="155">
      <c r="A155" s="17" t="n">
        <v>46134</v>
      </c>
      <c r="B155" s="13" t="inlineStr">
        <is>
          <t>ср</t>
        </is>
      </c>
      <c r="C155" s="13" t="inlineStr">
        <is>
          <t>Сев горошка</t>
        </is>
      </c>
      <c r="D155" s="13" t="inlineStr">
        <is>
          <t>Горох овощной (полив)</t>
        </is>
      </c>
      <c r="E155" s="13" t="inlineStr">
        <is>
          <t>Колос</t>
        </is>
      </c>
      <c r="F155" s="20" t="n">
        <v>56</v>
      </c>
    </row>
    <row r="156">
      <c r="A156" s="17" t="n">
        <v>46134</v>
      </c>
      <c r="B156" s="13" t="inlineStr">
        <is>
          <t>ср</t>
        </is>
      </c>
      <c r="C156" s="13" t="inlineStr">
        <is>
          <t>Хим обработка</t>
        </is>
      </c>
      <c r="D156" s="13" t="inlineStr">
        <is>
          <t>Горох овощной (богара)</t>
        </is>
      </c>
      <c r="E156" s="13" t="inlineStr">
        <is>
          <t>ГРК</t>
        </is>
      </c>
      <c r="F156" s="20" t="n">
        <v>88</v>
      </c>
    </row>
    <row r="157">
      <c r="A157" s="17" t="n">
        <v>46134</v>
      </c>
      <c r="B157" s="13" t="inlineStr">
        <is>
          <t>ср</t>
        </is>
      </c>
      <c r="C157" s="13" t="inlineStr">
        <is>
          <t>Хим обработка</t>
        </is>
      </c>
      <c r="D157" s="13" t="inlineStr">
        <is>
          <t>Пшеница озимая</t>
        </is>
      </c>
      <c r="E157" s="13" t="inlineStr">
        <is>
          <t>ГРК</t>
        </is>
      </c>
      <c r="F157" s="20" t="n">
        <v>485</v>
      </c>
    </row>
    <row r="158">
      <c r="A158" s="17" t="n">
        <v>46135</v>
      </c>
      <c r="B158" s="13" t="inlineStr">
        <is>
          <t>чт</t>
        </is>
      </c>
      <c r="C158" s="13" t="inlineStr">
        <is>
          <t>Культивация№1</t>
        </is>
      </c>
      <c r="D158" s="13" t="inlineStr">
        <is>
          <t>Кукуруза (сладкая)</t>
        </is>
      </c>
      <c r="E158" s="13" t="inlineStr">
        <is>
          <t>ГРК</t>
        </is>
      </c>
      <c r="F158" s="20" t="n">
        <v>58</v>
      </c>
    </row>
    <row r="159">
      <c r="A159" s="17" t="n">
        <v>46135</v>
      </c>
      <c r="B159" s="13" t="inlineStr">
        <is>
          <t>чт</t>
        </is>
      </c>
      <c r="C159" s="13" t="inlineStr">
        <is>
          <t>Культивация№111</t>
        </is>
      </c>
      <c r="D159" s="13" t="inlineStr">
        <is>
          <t>Кукуруза (сладкая)</t>
        </is>
      </c>
      <c r="E159" s="13" t="inlineStr">
        <is>
          <t>ГРК</t>
        </is>
      </c>
      <c r="F159" s="20" t="n">
        <v>58</v>
      </c>
    </row>
    <row r="160">
      <c r="A160" s="17" t="n">
        <v>46135</v>
      </c>
      <c r="B160" s="13" t="inlineStr">
        <is>
          <t>чт</t>
        </is>
      </c>
      <c r="C160" s="13" t="inlineStr">
        <is>
          <t>Предпосевная культивация</t>
        </is>
      </c>
      <c r="D160" s="13" t="inlineStr">
        <is>
          <t>Горох овощной (полив)</t>
        </is>
      </c>
      <c r="E160" s="13" t="inlineStr">
        <is>
          <t>ГРК</t>
        </is>
      </c>
      <c r="F160" s="20" t="n">
        <v>54</v>
      </c>
    </row>
    <row r="161">
      <c r="A161" s="17" t="n">
        <v>46135</v>
      </c>
      <c r="B161" s="13" t="inlineStr">
        <is>
          <t>чт</t>
        </is>
      </c>
      <c r="C161" s="13" t="inlineStr">
        <is>
          <t>Сев горошка</t>
        </is>
      </c>
      <c r="D161" s="13" t="inlineStr">
        <is>
          <t>Горох овощной (полив)</t>
        </is>
      </c>
      <c r="E161" s="13" t="inlineStr">
        <is>
          <t>Колос</t>
        </is>
      </c>
      <c r="F161" s="20" t="n">
        <v>56</v>
      </c>
    </row>
    <row r="162">
      <c r="A162" s="17" t="n">
        <v>46135</v>
      </c>
      <c r="B162" s="13" t="inlineStr">
        <is>
          <t>чт</t>
        </is>
      </c>
      <c r="C162" s="13" t="inlineStr">
        <is>
          <t>Хим обработка</t>
        </is>
      </c>
      <c r="D162" s="13" t="inlineStr">
        <is>
          <t>Горох овощной (богара)</t>
        </is>
      </c>
      <c r="E162" s="13" t="inlineStr">
        <is>
          <t>ГРК</t>
        </is>
      </c>
      <c r="F162" s="20" t="n">
        <v>263</v>
      </c>
    </row>
    <row r="163">
      <c r="A163" s="17" t="n">
        <v>46135</v>
      </c>
      <c r="B163" s="13" t="inlineStr">
        <is>
          <t>чт</t>
        </is>
      </c>
      <c r="C163" s="13" t="inlineStr">
        <is>
          <t>Хим обработка</t>
        </is>
      </c>
      <c r="D163" s="13" t="inlineStr">
        <is>
          <t>Горох овощной (полив)</t>
        </is>
      </c>
      <c r="E163" s="13" t="inlineStr">
        <is>
          <t>ГРК</t>
        </is>
      </c>
      <c r="F163" s="20" t="n">
        <v>20</v>
      </c>
    </row>
    <row r="164">
      <c r="A164" s="17" t="n">
        <v>46135</v>
      </c>
      <c r="B164" s="13" t="inlineStr">
        <is>
          <t>чт</t>
        </is>
      </c>
      <c r="C164" s="13" t="inlineStr">
        <is>
          <t>Хим обработка</t>
        </is>
      </c>
      <c r="D164" s="13" t="inlineStr">
        <is>
          <t>Пшеница озимая</t>
        </is>
      </c>
      <c r="E164" s="13" t="inlineStr">
        <is>
          <t>ГРК</t>
        </is>
      </c>
      <c r="F164" s="20" t="n">
        <v>274</v>
      </c>
    </row>
    <row r="165">
      <c r="A165" s="17" t="n">
        <v>46137</v>
      </c>
      <c r="B165" s="13" t="inlineStr">
        <is>
          <t>сб</t>
        </is>
      </c>
      <c r="C165" s="13" t="inlineStr">
        <is>
          <t>Культивация№1</t>
        </is>
      </c>
      <c r="D165" s="13" t="inlineStr">
        <is>
          <t>Кукуруза (сладкая)</t>
        </is>
      </c>
      <c r="E165" s="13" t="inlineStr">
        <is>
          <t>ГРК</t>
        </is>
      </c>
      <c r="F165" s="20" t="n">
        <v>59</v>
      </c>
    </row>
    <row r="166">
      <c r="A166" s="17" t="n">
        <v>46137</v>
      </c>
      <c r="B166" s="13" t="inlineStr">
        <is>
          <t>сб</t>
        </is>
      </c>
      <c r="C166" s="13" t="inlineStr">
        <is>
          <t>Культивация№111</t>
        </is>
      </c>
      <c r="D166" s="13" t="inlineStr">
        <is>
          <t>Кукуруза (сладкая)</t>
        </is>
      </c>
      <c r="E166" s="13" t="inlineStr">
        <is>
          <t>ГРК</t>
        </is>
      </c>
      <c r="F166" s="20" t="n">
        <v>59</v>
      </c>
    </row>
    <row r="167">
      <c r="A167" s="17" t="n">
        <v>46137</v>
      </c>
      <c r="B167" s="13" t="inlineStr">
        <is>
          <t>сб</t>
        </is>
      </c>
      <c r="C167" s="13" t="inlineStr">
        <is>
          <t>Хим обработка</t>
        </is>
      </c>
      <c r="D167" s="13" t="inlineStr">
        <is>
          <t>Пшеница озимая</t>
        </is>
      </c>
      <c r="E167" s="13" t="inlineStr">
        <is>
          <t>ГРК</t>
        </is>
      </c>
      <c r="F167" s="20" t="n">
        <v>510</v>
      </c>
    </row>
    <row r="168">
      <c r="A168" s="17" t="n">
        <v>46138</v>
      </c>
      <c r="B168" s="13" t="inlineStr">
        <is>
          <t>вс</t>
        </is>
      </c>
      <c r="C168" s="13" t="inlineStr">
        <is>
          <t>Культивация№1</t>
        </is>
      </c>
      <c r="D168" s="13" t="inlineStr">
        <is>
          <t>Подсолнечник</t>
        </is>
      </c>
      <c r="E168" s="13" t="inlineStr">
        <is>
          <t>ГРК</t>
        </is>
      </c>
      <c r="F168" s="20" t="n">
        <v>29</v>
      </c>
    </row>
    <row r="169">
      <c r="A169" s="17" t="n">
        <v>46138</v>
      </c>
      <c r="B169" s="13" t="inlineStr">
        <is>
          <t>вс</t>
        </is>
      </c>
      <c r="C169" s="13" t="inlineStr">
        <is>
          <t>Культивация№1</t>
        </is>
      </c>
      <c r="D169" s="13" t="inlineStr">
        <is>
          <t>Подсолнечник гибридный</t>
        </is>
      </c>
      <c r="E169" s="13" t="inlineStr">
        <is>
          <t>ГРК</t>
        </is>
      </c>
      <c r="F169" s="20" t="n">
        <v>29</v>
      </c>
    </row>
    <row r="170">
      <c r="A170" s="17" t="n">
        <v>46138</v>
      </c>
      <c r="B170" s="13" t="inlineStr">
        <is>
          <t>вс</t>
        </is>
      </c>
      <c r="C170" s="13" t="inlineStr">
        <is>
          <t>Культивация№111</t>
        </is>
      </c>
      <c r="D170" s="13" t="inlineStr">
        <is>
          <t>Подсолнечник</t>
        </is>
      </c>
      <c r="E170" s="13" t="inlineStr">
        <is>
          <t>ГРК</t>
        </is>
      </c>
      <c r="F170" s="20" t="n">
        <v>29</v>
      </c>
    </row>
    <row r="171">
      <c r="A171" s="17" t="n">
        <v>46138</v>
      </c>
      <c r="B171" s="13" t="inlineStr">
        <is>
          <t>вс</t>
        </is>
      </c>
      <c r="C171" s="13" t="inlineStr">
        <is>
          <t>Культивация№111</t>
        </is>
      </c>
      <c r="D171" s="13" t="inlineStr">
        <is>
          <t>Подсолнечник гибридный</t>
        </is>
      </c>
      <c r="E171" s="13" t="inlineStr">
        <is>
          <t>ГРК</t>
        </is>
      </c>
      <c r="F171" s="20" t="n">
        <v>29</v>
      </c>
    </row>
    <row r="172">
      <c r="A172" s="17" t="n">
        <v>46138</v>
      </c>
      <c r="B172" s="13" t="inlineStr">
        <is>
          <t>вс</t>
        </is>
      </c>
      <c r="C172" s="13" t="inlineStr">
        <is>
          <t>Предпосевная культивация</t>
        </is>
      </c>
      <c r="D172" s="13" t="inlineStr">
        <is>
          <t>Подсолнечник гибридный</t>
        </is>
      </c>
      <c r="E172" s="13" t="inlineStr">
        <is>
          <t>ГРК</t>
        </is>
      </c>
      <c r="F172" s="20" t="n">
        <v>58</v>
      </c>
    </row>
    <row r="173">
      <c r="A173" s="17" t="n">
        <v>46138</v>
      </c>
      <c r="B173" s="13" t="inlineStr">
        <is>
          <t>вс</t>
        </is>
      </c>
      <c r="C173" s="13" t="inlineStr">
        <is>
          <t>Сев горошка</t>
        </is>
      </c>
      <c r="D173" s="13" t="inlineStr">
        <is>
          <t>Горох овощной (полив)</t>
        </is>
      </c>
      <c r="E173" s="13" t="inlineStr">
        <is>
          <t>ГРК</t>
        </is>
      </c>
      <c r="F173" s="20" t="n">
        <v>58</v>
      </c>
    </row>
    <row r="174">
      <c r="A174" s="17" t="n">
        <v>46138</v>
      </c>
      <c r="B174" s="13" t="inlineStr">
        <is>
          <t>вс</t>
        </is>
      </c>
      <c r="C174" s="13" t="inlineStr">
        <is>
          <t>Хим обработка</t>
        </is>
      </c>
      <c r="D174" s="13" t="inlineStr">
        <is>
          <t>Пшеница озимая</t>
        </is>
      </c>
      <c r="E174" s="13" t="inlineStr">
        <is>
          <t>ГРК</t>
        </is>
      </c>
      <c r="F174" s="20" t="n">
        <v>642</v>
      </c>
    </row>
    <row r="175">
      <c r="A175" s="17" t="n">
        <v>46139</v>
      </c>
      <c r="B175" s="13" t="inlineStr">
        <is>
          <t>пн</t>
        </is>
      </c>
      <c r="C175" s="13" t="inlineStr">
        <is>
          <t>Культивация№1</t>
        </is>
      </c>
      <c r="D175" s="13" t="inlineStr">
        <is>
          <t>Подсолнечник гибридный</t>
        </is>
      </c>
      <c r="E175" s="13" t="inlineStr">
        <is>
          <t>ГРК</t>
        </is>
      </c>
      <c r="F175" s="20" t="n">
        <v>17</v>
      </c>
    </row>
    <row r="176">
      <c r="A176" s="17" t="n">
        <v>46139</v>
      </c>
      <c r="B176" s="13" t="inlineStr">
        <is>
          <t>пн</t>
        </is>
      </c>
      <c r="C176" s="13" t="inlineStr">
        <is>
          <t>Культивация№111</t>
        </is>
      </c>
      <c r="D176" s="13" t="inlineStr">
        <is>
          <t>Подсолнечник гибридный</t>
        </is>
      </c>
      <c r="E176" s="13" t="inlineStr">
        <is>
          <t>ГРК</t>
        </is>
      </c>
      <c r="F176" s="20" t="n">
        <v>17</v>
      </c>
    </row>
    <row r="177">
      <c r="A177" s="17" t="n">
        <v>46139</v>
      </c>
      <c r="B177" s="13" t="inlineStr">
        <is>
          <t>пн</t>
        </is>
      </c>
      <c r="C177" s="13" t="inlineStr">
        <is>
          <t>Предпосевная культивация</t>
        </is>
      </c>
      <c r="D177" s="13" t="inlineStr">
        <is>
          <t>Подсолнечник гибридный</t>
        </is>
      </c>
      <c r="E177" s="13" t="inlineStr">
        <is>
          <t>ГРК</t>
        </is>
      </c>
      <c r="F177" s="20" t="n">
        <v>45</v>
      </c>
    </row>
    <row r="178">
      <c r="A178" s="17" t="n">
        <v>46139</v>
      </c>
      <c r="B178" s="13" t="inlineStr">
        <is>
          <t>пн</t>
        </is>
      </c>
      <c r="C178" s="13" t="inlineStr">
        <is>
          <t>Сев горошка</t>
        </is>
      </c>
      <c r="D178" s="13" t="inlineStr">
        <is>
          <t>Горох овощной (полив)</t>
        </is>
      </c>
      <c r="E178" s="13" t="inlineStr">
        <is>
          <t>ГРК</t>
        </is>
      </c>
      <c r="F178" s="20" t="n">
        <v>1</v>
      </c>
    </row>
    <row r="179">
      <c r="A179" s="17" t="n">
        <v>46139</v>
      </c>
      <c r="B179" s="13" t="inlineStr">
        <is>
          <t>пн</t>
        </is>
      </c>
      <c r="C179" s="13" t="inlineStr">
        <is>
          <t>Сев горошка</t>
        </is>
      </c>
      <c r="D179" s="13" t="inlineStr">
        <is>
          <t>Горох овощной (полив)</t>
        </is>
      </c>
      <c r="E179" s="13" t="inlineStr">
        <is>
          <t>Колос</t>
        </is>
      </c>
      <c r="F179" s="20" t="n">
        <v>64.90000000000001</v>
      </c>
    </row>
    <row r="180">
      <c r="A180" s="17" t="n">
        <v>46139</v>
      </c>
      <c r="B180" s="13" t="inlineStr">
        <is>
          <t>пн</t>
        </is>
      </c>
      <c r="C180" s="13" t="inlineStr">
        <is>
          <t>Хим обработка</t>
        </is>
      </c>
      <c r="D180" s="13" t="inlineStr">
        <is>
          <t>Пшеница озимая</t>
        </is>
      </c>
      <c r="E180" s="13" t="inlineStr">
        <is>
          <t>ГРК</t>
        </is>
      </c>
      <c r="F180" s="20" t="n">
        <v>95</v>
      </c>
    </row>
    <row r="181">
      <c r="A181" s="17" t="n">
        <v>46139</v>
      </c>
      <c r="B181" s="13" t="inlineStr">
        <is>
          <t>пн</t>
        </is>
      </c>
      <c r="C181" s="13" t="inlineStr">
        <is>
          <t>Хим обработка №2</t>
        </is>
      </c>
      <c r="D181" s="13" t="inlineStr">
        <is>
          <t>Пшеница озимая</t>
        </is>
      </c>
      <c r="E181" s="13" t="inlineStr">
        <is>
          <t>ГРК</t>
        </is>
      </c>
      <c r="F181" s="20" t="n">
        <v>64</v>
      </c>
    </row>
    <row r="182">
      <c r="A182" s="17" t="n">
        <v>46140</v>
      </c>
      <c r="B182" s="13" t="inlineStr">
        <is>
          <t>вт</t>
        </is>
      </c>
      <c r="C182" s="13" t="inlineStr">
        <is>
          <t>Сев горошка</t>
        </is>
      </c>
      <c r="D182" s="13" t="inlineStr">
        <is>
          <t>Горох овощной (полив)</t>
        </is>
      </c>
      <c r="E182" s="13" t="inlineStr">
        <is>
          <t>Колос</t>
        </is>
      </c>
      <c r="F182" s="20" t="n">
        <v>22.6</v>
      </c>
    </row>
    <row r="183">
      <c r="A183" s="17" t="n">
        <v>46140</v>
      </c>
      <c r="B183" s="13" t="inlineStr">
        <is>
          <t>вт</t>
        </is>
      </c>
      <c r="C183" s="13" t="inlineStr">
        <is>
          <t>Хим обработка</t>
        </is>
      </c>
      <c r="D183" s="13" t="inlineStr">
        <is>
          <t>Пшеница озимая</t>
        </is>
      </c>
      <c r="E183" s="13" t="inlineStr">
        <is>
          <t>ГРК</t>
        </is>
      </c>
      <c r="F183" s="20" t="n">
        <v>541</v>
      </c>
    </row>
    <row r="184">
      <c r="A184" s="17" t="n">
        <v>46140</v>
      </c>
      <c r="B184" s="13" t="inlineStr">
        <is>
          <t>вт</t>
        </is>
      </c>
      <c r="C184" s="13" t="inlineStr">
        <is>
          <t>Хим обработка №2</t>
        </is>
      </c>
      <c r="D184" s="13" t="inlineStr">
        <is>
          <t>Пшеница озимая</t>
        </is>
      </c>
      <c r="E184" s="13" t="inlineStr">
        <is>
          <t>ГРК</t>
        </is>
      </c>
      <c r="F184" s="20" t="n">
        <v>541</v>
      </c>
    </row>
    <row r="185">
      <c r="A185" s="17" t="n">
        <v>46141</v>
      </c>
      <c r="B185" s="13" t="inlineStr">
        <is>
          <t>ср</t>
        </is>
      </c>
      <c r="C185" s="13" t="inlineStr">
        <is>
          <t>Сев горошка</t>
        </is>
      </c>
      <c r="D185" s="13" t="inlineStr">
        <is>
          <t>Горох овощной (полив)</t>
        </is>
      </c>
      <c r="E185" s="13" t="inlineStr">
        <is>
          <t>ГРК</t>
        </is>
      </c>
      <c r="F185" s="20" t="n">
        <v>43</v>
      </c>
    </row>
    <row r="186">
      <c r="A186" s="17" t="n">
        <v>46141</v>
      </c>
      <c r="B186" s="13" t="inlineStr">
        <is>
          <t>ср</t>
        </is>
      </c>
      <c r="C186" s="13" t="inlineStr">
        <is>
          <t>Сев горошка</t>
        </is>
      </c>
      <c r="D186" s="13" t="inlineStr">
        <is>
          <t>Горох овощной (полив)</t>
        </is>
      </c>
      <c r="E186" s="13" t="inlineStr">
        <is>
          <t>Колос</t>
        </is>
      </c>
      <c r="F186" s="20" t="n">
        <v>44.16</v>
      </c>
    </row>
    <row r="187">
      <c r="A187" s="17" t="n">
        <v>46141</v>
      </c>
      <c r="B187" s="13" t="inlineStr">
        <is>
          <t>ср</t>
        </is>
      </c>
      <c r="C187" s="13" t="inlineStr">
        <is>
          <t>Хим обработка</t>
        </is>
      </c>
      <c r="D187" s="13" t="inlineStr">
        <is>
          <t>Пшеница озимая</t>
        </is>
      </c>
      <c r="E187" s="13" t="inlineStr">
        <is>
          <t>ГРК</t>
        </is>
      </c>
      <c r="F187" s="20" t="n">
        <v>312</v>
      </c>
    </row>
    <row r="188">
      <c r="A188" s="17" t="n">
        <v>46141</v>
      </c>
      <c r="B188" s="13" t="inlineStr">
        <is>
          <t>ср</t>
        </is>
      </c>
      <c r="C188" s="13" t="inlineStr">
        <is>
          <t>Хим обработка №2</t>
        </is>
      </c>
      <c r="D188" s="13" t="inlineStr">
        <is>
          <t>Пшеница озимая</t>
        </is>
      </c>
      <c r="E188" s="13" t="inlineStr">
        <is>
          <t>ГРК</t>
        </is>
      </c>
      <c r="F188" s="20" t="n">
        <v>312</v>
      </c>
    </row>
    <row r="189">
      <c r="A189" s="17" t="n">
        <v>46142</v>
      </c>
      <c r="B189" s="13" t="inlineStr">
        <is>
          <t>чт</t>
        </is>
      </c>
      <c r="C189" s="13" t="inlineStr">
        <is>
          <t>Сев горошка</t>
        </is>
      </c>
      <c r="D189" s="13" t="inlineStr">
        <is>
          <t>Горох овощной (полив)</t>
        </is>
      </c>
      <c r="E189" s="13" t="inlineStr">
        <is>
          <t>ГРК</t>
        </is>
      </c>
      <c r="F189" s="20" t="n">
        <v>49</v>
      </c>
    </row>
    <row r="190">
      <c r="A190" s="17" t="n">
        <v>46142</v>
      </c>
      <c r="B190" s="13" t="inlineStr">
        <is>
          <t>чт</t>
        </is>
      </c>
      <c r="C190" s="13" t="inlineStr">
        <is>
          <t>Хим обработка</t>
        </is>
      </c>
      <c r="D190" s="13" t="inlineStr">
        <is>
          <t>Пшеница озимая</t>
        </is>
      </c>
      <c r="E190" s="13" t="inlineStr">
        <is>
          <t>ГРК</t>
        </is>
      </c>
      <c r="F190" s="20" t="n">
        <v>345</v>
      </c>
    </row>
    <row r="191">
      <c r="A191" s="17" t="n">
        <v>46142</v>
      </c>
      <c r="B191" s="13" t="inlineStr">
        <is>
          <t>чт</t>
        </is>
      </c>
      <c r="C191" s="13" t="inlineStr">
        <is>
          <t>Хим обработка №2</t>
        </is>
      </c>
      <c r="D191" s="13" t="inlineStr">
        <is>
          <t>Горох овощной (богара)</t>
        </is>
      </c>
      <c r="E191" s="13" t="inlineStr">
        <is>
          <t>ГРК</t>
        </is>
      </c>
      <c r="F191" s="20" t="n">
        <v>369</v>
      </c>
    </row>
    <row r="192">
      <c r="A192" s="17" t="n">
        <v>46142</v>
      </c>
      <c r="B192" s="13" t="inlineStr">
        <is>
          <t>чт</t>
        </is>
      </c>
      <c r="C192" s="13" t="inlineStr">
        <is>
          <t>Хим обработка №2</t>
        </is>
      </c>
      <c r="D192" s="13" t="inlineStr">
        <is>
          <t>Пшеница озимая</t>
        </is>
      </c>
      <c r="E192" s="13" t="inlineStr">
        <is>
          <t>ГРК</t>
        </is>
      </c>
      <c r="F192" s="20" t="n">
        <v>345</v>
      </c>
    </row>
    <row r="193">
      <c r="A193" s="17" t="n">
        <v>46143</v>
      </c>
      <c r="B193" s="13" t="inlineStr">
        <is>
          <t>пт</t>
        </is>
      </c>
      <c r="C193" s="13" t="inlineStr">
        <is>
          <t>Сев горошка</t>
        </is>
      </c>
      <c r="D193" s="13" t="inlineStr">
        <is>
          <t>Горох овощной (полив)</t>
        </is>
      </c>
      <c r="E193" s="13" t="inlineStr">
        <is>
          <t>ГРК</t>
        </is>
      </c>
      <c r="F193" s="20" t="n">
        <v>30</v>
      </c>
    </row>
    <row r="194">
      <c r="A194" s="17" t="n">
        <v>46144</v>
      </c>
      <c r="B194" s="13" t="inlineStr">
        <is>
          <t>сб</t>
        </is>
      </c>
      <c r="C194" s="13" t="inlineStr">
        <is>
          <t>Культивация№2</t>
        </is>
      </c>
      <c r="D194" s="13" t="inlineStr">
        <is>
          <t>Горох овощной (полив)</t>
        </is>
      </c>
      <c r="E194" s="13" t="inlineStr">
        <is>
          <t>ГРК</t>
        </is>
      </c>
      <c r="F194" s="20" t="n">
        <v>54</v>
      </c>
    </row>
    <row r="195">
      <c r="A195" s="17" t="n">
        <v>46145</v>
      </c>
      <c r="B195" s="13" t="inlineStr">
        <is>
          <t>вс</t>
        </is>
      </c>
      <c r="C195" s="13" t="inlineStr">
        <is>
          <t>Сев горошка</t>
        </is>
      </c>
      <c r="D195" s="13" t="inlineStr">
        <is>
          <t>Горох овощной (богара)</t>
        </is>
      </c>
      <c r="E195" s="13" t="inlineStr">
        <is>
          <t>ГРК</t>
        </is>
      </c>
      <c r="F195" s="20" t="n">
        <v>16</v>
      </c>
    </row>
    <row r="196">
      <c r="A196" s="17" t="n">
        <v>46145</v>
      </c>
      <c r="B196" s="13" t="inlineStr">
        <is>
          <t>вс</t>
        </is>
      </c>
      <c r="C196" s="13" t="inlineStr">
        <is>
          <t>Сев горошка</t>
        </is>
      </c>
      <c r="D196" s="13" t="inlineStr">
        <is>
          <t>Горох овощной (полив)</t>
        </is>
      </c>
      <c r="E196" s="13" t="inlineStr">
        <is>
          <t>ГРК</t>
        </is>
      </c>
      <c r="F196" s="20" t="n">
        <v>32</v>
      </c>
    </row>
    <row r="197">
      <c r="A197" s="17" t="n">
        <v>46145</v>
      </c>
      <c r="B197" s="13" t="inlineStr">
        <is>
          <t>вс</t>
        </is>
      </c>
      <c r="C197" s="13" t="inlineStr">
        <is>
          <t>Хим обработка</t>
        </is>
      </c>
      <c r="D197" s="13" t="inlineStr">
        <is>
          <t>Горох овощной (полив)</t>
        </is>
      </c>
      <c r="E197" s="13" t="inlineStr">
        <is>
          <t>ГРК</t>
        </is>
      </c>
      <c r="F197" s="20" t="n">
        <v>133</v>
      </c>
    </row>
    <row r="198">
      <c r="A198" s="17" t="n">
        <v>46145</v>
      </c>
      <c r="B198" s="13" t="inlineStr">
        <is>
          <t>вс</t>
        </is>
      </c>
      <c r="C198" s="13" t="inlineStr">
        <is>
          <t>Хим обработка</t>
        </is>
      </c>
      <c r="D198" s="13" t="inlineStr">
        <is>
          <t>Пшеница озимая</t>
        </is>
      </c>
      <c r="E198" s="13" t="inlineStr">
        <is>
          <t>ГРК</t>
        </is>
      </c>
      <c r="F198" s="20" t="n">
        <v>226</v>
      </c>
    </row>
    <row r="199">
      <c r="A199" s="17" t="n">
        <v>46146</v>
      </c>
      <c r="B199" s="13" t="inlineStr">
        <is>
          <t>пн</t>
        </is>
      </c>
      <c r="C199" s="13" t="inlineStr">
        <is>
          <t>Сев горошка</t>
        </is>
      </c>
      <c r="D199" s="13" t="inlineStr">
        <is>
          <t>Горох овощной (богара)</t>
        </is>
      </c>
      <c r="E199" s="13" t="inlineStr">
        <is>
          <t>ГРК</t>
        </is>
      </c>
      <c r="F199" s="20" t="n">
        <v>31</v>
      </c>
    </row>
    <row r="200">
      <c r="A200" s="17" t="n">
        <v>46147</v>
      </c>
      <c r="B200" s="13" t="inlineStr">
        <is>
          <t>вт</t>
        </is>
      </c>
      <c r="C200" s="13" t="inlineStr">
        <is>
          <t>СЕВ СЛАДКОЙ КУКУРУЗЫ</t>
        </is>
      </c>
      <c r="D200" s="13" t="inlineStr">
        <is>
          <t>Кукуруза супер.сладкая(полив)</t>
        </is>
      </c>
      <c r="E200" s="13" t="inlineStr">
        <is>
          <t>ГРК</t>
        </is>
      </c>
      <c r="F200" s="20" t="n">
        <v>17</v>
      </c>
    </row>
    <row r="201">
      <c r="A201" s="17" t="n">
        <v>46147</v>
      </c>
      <c r="B201" s="13" t="inlineStr">
        <is>
          <t>вт</t>
        </is>
      </c>
      <c r="C201" s="13" t="inlineStr">
        <is>
          <t>Сев горошка</t>
        </is>
      </c>
      <c r="D201" s="13" t="inlineStr">
        <is>
          <t>Горох овощной (полив)</t>
        </is>
      </c>
      <c r="E201" s="13" t="inlineStr">
        <is>
          <t>ГРК</t>
        </is>
      </c>
      <c r="F201" s="20" t="n">
        <v>35</v>
      </c>
    </row>
    <row r="202">
      <c r="A202" s="17" t="n">
        <v>46148</v>
      </c>
      <c r="B202" s="13" t="inlineStr">
        <is>
          <t>ср</t>
        </is>
      </c>
      <c r="C202" s="13" t="inlineStr">
        <is>
          <t>Предпосевная культивация</t>
        </is>
      </c>
      <c r="D202" s="13" t="inlineStr">
        <is>
          <t>кукуруза супер сладкая</t>
        </is>
      </c>
      <c r="E202" s="13" t="inlineStr">
        <is>
          <t>ГРК</t>
        </is>
      </c>
      <c r="F202" s="20" t="n">
        <v>59</v>
      </c>
    </row>
    <row r="203">
      <c r="A203" s="17" t="n">
        <v>46148</v>
      </c>
      <c r="B203" s="13" t="inlineStr">
        <is>
          <t>ср</t>
        </is>
      </c>
      <c r="C203" s="13" t="inlineStr">
        <is>
          <t>СЕВ СЛАДКОЙ КУКУРУЗЫ</t>
        </is>
      </c>
      <c r="D203" s="13" t="inlineStr">
        <is>
          <t>Кукуруза супер.сладкая(полив)</t>
        </is>
      </c>
      <c r="E203" s="13" t="inlineStr">
        <is>
          <t>ГРК</t>
        </is>
      </c>
      <c r="F203" s="20" t="n">
        <v>2</v>
      </c>
    </row>
    <row r="204">
      <c r="A204" s="17" t="n">
        <v>46148</v>
      </c>
      <c r="B204" s="13" t="inlineStr">
        <is>
          <t>ср</t>
        </is>
      </c>
      <c r="C204" s="13" t="inlineStr">
        <is>
          <t>Сев горошка</t>
        </is>
      </c>
      <c r="D204" s="13" t="inlineStr">
        <is>
          <t>Горох овощной (полив)</t>
        </is>
      </c>
      <c r="E204" s="13" t="inlineStr">
        <is>
          <t>ГРК</t>
        </is>
      </c>
      <c r="F204" s="20" t="n">
        <v>19</v>
      </c>
    </row>
    <row r="205">
      <c r="A205" s="17" t="n">
        <v>46148</v>
      </c>
      <c r="B205" s="13" t="inlineStr">
        <is>
          <t>ср</t>
        </is>
      </c>
      <c r="C205" s="13" t="inlineStr">
        <is>
          <t>Хим обработка</t>
        </is>
      </c>
      <c r="D205" s="13" t="inlineStr">
        <is>
          <t>Горох овощной (богара)</t>
        </is>
      </c>
      <c r="E205" s="13" t="inlineStr">
        <is>
          <t>ГРК</t>
        </is>
      </c>
      <c r="F205" s="20" t="n">
        <v>47</v>
      </c>
    </row>
    <row r="206">
      <c r="A206" s="17" t="n">
        <v>46148</v>
      </c>
      <c r="B206" s="13" t="inlineStr">
        <is>
          <t>ср</t>
        </is>
      </c>
      <c r="C206" s="13" t="inlineStr">
        <is>
          <t>Хим обработка №2</t>
        </is>
      </c>
      <c r="D206" s="13" t="inlineStr">
        <is>
          <t>Горох овощной (богара)</t>
        </is>
      </c>
      <c r="E206" s="13" t="inlineStr">
        <is>
          <t>ГРК</t>
        </is>
      </c>
      <c r="F206" s="20" t="n">
        <v>45</v>
      </c>
    </row>
    <row r="207">
      <c r="A207" s="17" t="n">
        <v>46149</v>
      </c>
      <c r="B207" s="13" t="inlineStr">
        <is>
          <t>чт</t>
        </is>
      </c>
      <c r="C207" s="13" t="inlineStr">
        <is>
          <t>СЕВ СЛАДКОЙ КУКУРУЗЫ</t>
        </is>
      </c>
      <c r="D207" s="13" t="inlineStr">
        <is>
          <t>Кукуруза супер.сладкая(полив)</t>
        </is>
      </c>
      <c r="E207" s="13" t="inlineStr">
        <is>
          <t>ГРК</t>
        </is>
      </c>
      <c r="F207" s="20" t="n">
        <v>58</v>
      </c>
    </row>
    <row r="208">
      <c r="A208" s="17" t="n">
        <v>46149</v>
      </c>
      <c r="B208" s="13" t="inlineStr">
        <is>
          <t>чт</t>
        </is>
      </c>
      <c r="C208" s="13" t="inlineStr">
        <is>
          <t>Хим обработка</t>
        </is>
      </c>
      <c r="D208" s="13" t="inlineStr">
        <is>
          <t>Горох овощной (богара)</t>
        </is>
      </c>
      <c r="E208" s="13" t="inlineStr">
        <is>
          <t>ГРК</t>
        </is>
      </c>
      <c r="F208" s="20" t="n">
        <v>205</v>
      </c>
    </row>
    <row r="209">
      <c r="A209" s="17" t="n">
        <v>46149</v>
      </c>
      <c r="B209" s="13" t="inlineStr">
        <is>
          <t>чт</t>
        </is>
      </c>
      <c r="C209" s="13" t="inlineStr">
        <is>
          <t>Хим обработка</t>
        </is>
      </c>
      <c r="D209" s="13" t="inlineStr">
        <is>
          <t>Горох овощной (полив)</t>
        </is>
      </c>
      <c r="E209" s="13" t="inlineStr">
        <is>
          <t>ГРК</t>
        </is>
      </c>
      <c r="F209" s="20" t="n">
        <v>20</v>
      </c>
    </row>
    <row r="210">
      <c r="A210" s="17" t="n">
        <v>46150</v>
      </c>
      <c r="B210" s="13" t="inlineStr">
        <is>
          <t>пт</t>
        </is>
      </c>
      <c r="C210" s="13" t="inlineStr">
        <is>
          <t>Культивация№2</t>
        </is>
      </c>
      <c r="D210" s="13" t="inlineStr">
        <is>
          <t>Подсолнечник гибридный</t>
        </is>
      </c>
      <c r="E210" s="13" t="inlineStr">
        <is>
          <t>ГРК</t>
        </is>
      </c>
      <c r="F210" s="20" t="n">
        <v>20</v>
      </c>
    </row>
    <row r="211">
      <c r="A211" s="17" t="n">
        <v>46150</v>
      </c>
      <c r="B211" s="13" t="inlineStr">
        <is>
          <t>пт</t>
        </is>
      </c>
      <c r="C211" s="13" t="inlineStr">
        <is>
          <t>Культивация№3</t>
        </is>
      </c>
      <c r="D211" s="13" t="inlineStr">
        <is>
          <t>Подсолнечник гибридный</t>
        </is>
      </c>
      <c r="E211" s="13" t="inlineStr">
        <is>
          <t>ГРК</t>
        </is>
      </c>
      <c r="F211" s="20" t="n">
        <v>33</v>
      </c>
    </row>
    <row r="212">
      <c r="A212" s="17" t="n">
        <v>46150</v>
      </c>
      <c r="B212" s="13" t="inlineStr">
        <is>
          <t>пт</t>
        </is>
      </c>
      <c r="C212" s="13" t="inlineStr">
        <is>
          <t>СЕВ СЛАДКОЙ КУКУРУЗЫ</t>
        </is>
      </c>
      <c r="D212" s="13" t="inlineStr">
        <is>
          <t>Кукуруза сладкая</t>
        </is>
      </c>
      <c r="E212" s="13" t="inlineStr">
        <is>
          <t>Киров</t>
        </is>
      </c>
      <c r="F212" s="20" t="n">
        <v>72</v>
      </c>
    </row>
    <row r="213">
      <c r="A213" s="17" t="n">
        <v>46150</v>
      </c>
      <c r="B213" s="13" t="inlineStr">
        <is>
          <t>пт</t>
        </is>
      </c>
      <c r="C213" s="13" t="inlineStr">
        <is>
          <t>СЕВ СЛАДКОЙ КУКУРУЗЫ</t>
        </is>
      </c>
      <c r="D213" s="13" t="inlineStr">
        <is>
          <t>Кукуруза супер.сладкая(полив)</t>
        </is>
      </c>
      <c r="E213" s="13" t="inlineStr">
        <is>
          <t>ГРК</t>
        </is>
      </c>
      <c r="F213" s="20" t="n">
        <v>40</v>
      </c>
    </row>
    <row r="214">
      <c r="A214" s="17" t="n">
        <v>46150</v>
      </c>
      <c r="B214" s="13" t="inlineStr">
        <is>
          <t>пт</t>
        </is>
      </c>
      <c r="C214" s="13" t="inlineStr">
        <is>
          <t>Хим обработка</t>
        </is>
      </c>
      <c r="D214" s="13" t="inlineStr">
        <is>
          <t>Пшеница озимая</t>
        </is>
      </c>
      <c r="E214" s="13" t="inlineStr">
        <is>
          <t>ГРК</t>
        </is>
      </c>
      <c r="F214" s="20" t="n">
        <v>567</v>
      </c>
    </row>
    <row r="215">
      <c r="A215" s="17" t="n">
        <v>46151</v>
      </c>
      <c r="B215" s="13" t="inlineStr">
        <is>
          <t>сб</t>
        </is>
      </c>
      <c r="C215" s="13" t="inlineStr">
        <is>
          <t>Культивация№3</t>
        </is>
      </c>
      <c r="D215" s="13" t="inlineStr">
        <is>
          <t>Подсолнечник гибридный</t>
        </is>
      </c>
      <c r="E215" s="13" t="inlineStr">
        <is>
          <t>ГРК</t>
        </is>
      </c>
      <c r="F215" s="20" t="n">
        <v>25</v>
      </c>
    </row>
    <row r="216">
      <c r="A216" s="17" t="n">
        <v>46152</v>
      </c>
      <c r="B216" s="13" t="inlineStr">
        <is>
          <t>вс</t>
        </is>
      </c>
      <c r="C216" s="13" t="inlineStr">
        <is>
          <t>Внесение мин.удобрений №1</t>
        </is>
      </c>
      <c r="D216" s="13" t="inlineStr">
        <is>
          <t>Горох овощной (богара)</t>
        </is>
      </c>
      <c r="E216" s="13" t="inlineStr">
        <is>
          <t>ГРК</t>
        </is>
      </c>
      <c r="F216" s="20" t="n">
        <v>111</v>
      </c>
    </row>
    <row r="217">
      <c r="A217" s="17" t="n">
        <v>46152</v>
      </c>
      <c r="B217" s="13" t="inlineStr">
        <is>
          <t>вс</t>
        </is>
      </c>
      <c r="C217" s="13" t="inlineStr">
        <is>
          <t>Культивация№2</t>
        </is>
      </c>
      <c r="D217" s="13" t="inlineStr">
        <is>
          <t>Подсолнечник гибридный</t>
        </is>
      </c>
      <c r="E217" s="13" t="inlineStr">
        <is>
          <t>ГРК</t>
        </is>
      </c>
      <c r="F217" s="20" t="n">
        <v>26</v>
      </c>
    </row>
    <row r="218">
      <c r="A218" s="17" t="n">
        <v>46152</v>
      </c>
      <c r="B218" s="13" t="inlineStr">
        <is>
          <t>вс</t>
        </is>
      </c>
      <c r="C218" s="13" t="inlineStr">
        <is>
          <t>Хим обработка</t>
        </is>
      </c>
      <c r="D218" s="13" t="inlineStr">
        <is>
          <t>Пшеница озимая</t>
        </is>
      </c>
      <c r="E218" s="13" t="inlineStr">
        <is>
          <t>ГРК</t>
        </is>
      </c>
      <c r="F218" s="20" t="n">
        <v>486</v>
      </c>
    </row>
    <row r="219">
      <c r="A219" s="17" t="n">
        <v>46153</v>
      </c>
      <c r="B219" s="13" t="inlineStr">
        <is>
          <t>пн</t>
        </is>
      </c>
      <c r="C219" s="13" t="inlineStr">
        <is>
          <t>Внесение мин.удобрений №1</t>
        </is>
      </c>
      <c r="D219" s="13" t="inlineStr">
        <is>
          <t>Горох овощной (богара)</t>
        </is>
      </c>
      <c r="E219" s="13" t="inlineStr">
        <is>
          <t>ГРК</t>
        </is>
      </c>
      <c r="F219" s="20" t="n">
        <v>178</v>
      </c>
    </row>
    <row r="220">
      <c r="A220" s="17" t="n">
        <v>46153</v>
      </c>
      <c r="B220" s="13" t="inlineStr">
        <is>
          <t>пн</t>
        </is>
      </c>
      <c r="C220" s="13" t="inlineStr">
        <is>
          <t>СЕВ СЛАДКОЙ КУКУРУЗЫ</t>
        </is>
      </c>
      <c r="D220" s="13" t="inlineStr">
        <is>
          <t>Кукуруза сладкая</t>
        </is>
      </c>
      <c r="E220" s="13" t="inlineStr">
        <is>
          <t>Киров</t>
        </is>
      </c>
      <c r="F220" s="20" t="n">
        <v>71</v>
      </c>
    </row>
    <row r="221">
      <c r="A221" s="17" t="n">
        <v>46154</v>
      </c>
      <c r="B221" s="13" t="inlineStr">
        <is>
          <t>вт</t>
        </is>
      </c>
      <c r="C221" s="13" t="inlineStr">
        <is>
          <t>Хим обработка</t>
        </is>
      </c>
      <c r="D221" s="13" t="inlineStr">
        <is>
          <t>Подсолнечник товарный</t>
        </is>
      </c>
      <c r="E221" s="13" t="inlineStr">
        <is>
          <t>ГРК</t>
        </is>
      </c>
      <c r="F221" s="20" t="n">
        <v>309</v>
      </c>
    </row>
    <row r="222">
      <c r="A222" s="17" t="n">
        <v>46154</v>
      </c>
      <c r="B222" s="13" t="inlineStr">
        <is>
          <t>вт</t>
        </is>
      </c>
      <c r="C222" s="13" t="inlineStr">
        <is>
          <t>Хим обработка №2</t>
        </is>
      </c>
      <c r="D222" s="13" t="inlineStr">
        <is>
          <t>Горох овощной (богара)</t>
        </is>
      </c>
      <c r="E222" s="13" t="inlineStr">
        <is>
          <t>ГРК</t>
        </is>
      </c>
      <c r="F222" s="20" t="n">
        <v>68</v>
      </c>
    </row>
    <row r="223">
      <c r="A223" s="17" t="n">
        <v>46154</v>
      </c>
      <c r="B223" s="13" t="inlineStr">
        <is>
          <t>вт</t>
        </is>
      </c>
      <c r="C223" s="13" t="inlineStr">
        <is>
          <t>Хим обработка №2</t>
        </is>
      </c>
      <c r="D223" s="13" t="inlineStr">
        <is>
          <t>Пшеница озимая</t>
        </is>
      </c>
      <c r="E223" s="13" t="inlineStr">
        <is>
          <t>ГРК</t>
        </is>
      </c>
      <c r="F223" s="20" t="n">
        <v>297</v>
      </c>
    </row>
    <row r="224">
      <c r="A224" s="17" t="n">
        <v>46155</v>
      </c>
      <c r="B224" s="13" t="inlineStr">
        <is>
          <t>ср</t>
        </is>
      </c>
      <c r="C224" s="13" t="inlineStr">
        <is>
          <t>Хим обработка</t>
        </is>
      </c>
      <c r="D224" s="13" t="inlineStr">
        <is>
          <t>Подсолнечник товарный</t>
        </is>
      </c>
      <c r="E224" s="13" t="inlineStr">
        <is>
          <t>ГРК</t>
        </is>
      </c>
      <c r="F224" s="20" t="n">
        <v>121</v>
      </c>
    </row>
    <row r="225">
      <c r="A225" s="17" t="n">
        <v>46155</v>
      </c>
      <c r="B225" s="13" t="inlineStr">
        <is>
          <t>ср</t>
        </is>
      </c>
      <c r="C225" s="13" t="inlineStr">
        <is>
          <t>Хим обработка №2</t>
        </is>
      </c>
      <c r="D225" s="13" t="inlineStr">
        <is>
          <t>Горох овощной (богара)</t>
        </is>
      </c>
      <c r="E225" s="13" t="inlineStr">
        <is>
          <t>ГРК</t>
        </is>
      </c>
      <c r="F225" s="20" t="n">
        <v>25</v>
      </c>
    </row>
    <row r="226">
      <c r="A226" s="17" t="n">
        <v>46155</v>
      </c>
      <c r="B226" s="13" t="inlineStr">
        <is>
          <t>ср</t>
        </is>
      </c>
      <c r="C226" s="13" t="inlineStr">
        <is>
          <t>Хим обработка №2</t>
        </is>
      </c>
      <c r="D226" s="13" t="inlineStr">
        <is>
          <t>Пшеница озимая</t>
        </is>
      </c>
      <c r="E226" s="13" t="inlineStr">
        <is>
          <t>ГРК</t>
        </is>
      </c>
      <c r="F226" s="20" t="n">
        <v>181</v>
      </c>
    </row>
    <row r="227">
      <c r="A227" s="17" t="n">
        <v>46160</v>
      </c>
      <c r="B227" s="13" t="inlineStr">
        <is>
          <t>пн</t>
        </is>
      </c>
      <c r="C227" s="13" t="inlineStr">
        <is>
          <t>СЕВ СЛАДКОЙ КУКУРУЗЫ</t>
        </is>
      </c>
      <c r="D227" s="13" t="inlineStr">
        <is>
          <t>Кукуруза сладкая</t>
        </is>
      </c>
      <c r="E227" s="13" t="inlineStr">
        <is>
          <t>Киров</t>
        </is>
      </c>
      <c r="F227" s="20" t="n">
        <v>77</v>
      </c>
    </row>
    <row r="228">
      <c r="A228" s="17" t="n">
        <v>46161</v>
      </c>
      <c r="B228" s="13" t="inlineStr">
        <is>
          <t>вт</t>
        </is>
      </c>
      <c r="C228" s="13" t="inlineStr">
        <is>
          <t>Хим обработка</t>
        </is>
      </c>
      <c r="D228" s="13" t="inlineStr">
        <is>
          <t>Горох овощной (полив)</t>
        </is>
      </c>
      <c r="E228" s="13" t="inlineStr">
        <is>
          <t>ГРК</t>
        </is>
      </c>
      <c r="F228" s="20" t="n">
        <v>72</v>
      </c>
    </row>
    <row r="229">
      <c r="A229" s="17" t="n">
        <v>46161</v>
      </c>
      <c r="B229" s="13" t="inlineStr">
        <is>
          <t>вт</t>
        </is>
      </c>
      <c r="C229" s="13" t="inlineStr">
        <is>
          <t>Хим обработка №2</t>
        </is>
      </c>
      <c r="D229" s="13" t="inlineStr">
        <is>
          <t>Пшеница озимая</t>
        </is>
      </c>
      <c r="E229" s="13" t="inlineStr">
        <is>
          <t>ГРК</t>
        </is>
      </c>
      <c r="F229" s="20" t="n">
        <v>140</v>
      </c>
    </row>
    <row r="230">
      <c r="A230" s="17" t="n">
        <v>46162</v>
      </c>
      <c r="B230" s="13" t="inlineStr">
        <is>
          <t>ср</t>
        </is>
      </c>
      <c r="C230" s="13" t="inlineStr">
        <is>
          <t>Хим обработка №2</t>
        </is>
      </c>
      <c r="D230" s="13" t="inlineStr">
        <is>
          <t>Пшеница озимая</t>
        </is>
      </c>
      <c r="E230" s="13" t="inlineStr">
        <is>
          <t>ГРК</t>
        </is>
      </c>
      <c r="F230" s="20" t="n">
        <v>287</v>
      </c>
    </row>
    <row r="231">
      <c r="A231" s="17" t="n">
        <v>46164</v>
      </c>
      <c r="B231" s="13" t="inlineStr">
        <is>
          <t>пт</t>
        </is>
      </c>
      <c r="C231" s="13" t="inlineStr">
        <is>
          <t>Культивация№3</t>
        </is>
      </c>
      <c r="D231" s="13" t="inlineStr">
        <is>
          <t>Подсолнечник гибридный</t>
        </is>
      </c>
      <c r="E231" s="13" t="inlineStr">
        <is>
          <t>ГРК</t>
        </is>
      </c>
      <c r="F231" s="20" t="n">
        <v>91</v>
      </c>
    </row>
    <row r="232">
      <c r="A232" s="17" t="n">
        <v>46164</v>
      </c>
      <c r="B232" s="13" t="inlineStr">
        <is>
          <t>пт</t>
        </is>
      </c>
      <c r="C232" s="13" t="inlineStr">
        <is>
          <t>СЕВ СЛАДКОЙ КУКУРУЗЫ</t>
        </is>
      </c>
      <c r="D232" s="13" t="inlineStr">
        <is>
          <t>Кукуруза сладкая</t>
        </is>
      </c>
      <c r="E232" s="13" t="inlineStr">
        <is>
          <t>Киров</t>
        </is>
      </c>
      <c r="F232" s="20" t="n">
        <v>38</v>
      </c>
    </row>
    <row r="233">
      <c r="A233" s="17" t="n">
        <v>46164</v>
      </c>
      <c r="B233" s="13" t="inlineStr">
        <is>
          <t>пт</t>
        </is>
      </c>
      <c r="C233" s="13" t="inlineStr">
        <is>
          <t>Хим обработка</t>
        </is>
      </c>
      <c r="D233" s="13" t="inlineStr">
        <is>
          <t>Горох овощной (полив)</t>
        </is>
      </c>
      <c r="E233" s="13" t="inlineStr">
        <is>
          <t>ГРК</t>
        </is>
      </c>
      <c r="F233" s="20" t="n">
        <v>22</v>
      </c>
    </row>
    <row r="234">
      <c r="A234" s="17" t="n">
        <v>46164</v>
      </c>
      <c r="B234" s="13" t="inlineStr">
        <is>
          <t>пт</t>
        </is>
      </c>
      <c r="C234" s="13" t="inlineStr">
        <is>
          <t>Хим обработка</t>
        </is>
      </c>
      <c r="D234" s="13" t="inlineStr">
        <is>
          <t>Кукуруза на зерно</t>
        </is>
      </c>
      <c r="E234" s="13" t="inlineStr">
        <is>
          <t>ГРК</t>
        </is>
      </c>
      <c r="F234" s="20" t="n">
        <v>67</v>
      </c>
    </row>
    <row r="235">
      <c r="A235" s="17" t="n">
        <v>46164</v>
      </c>
      <c r="B235" s="13" t="inlineStr">
        <is>
          <t>пт</t>
        </is>
      </c>
      <c r="C235" s="13" t="inlineStr">
        <is>
          <t>Хим обработка</t>
        </is>
      </c>
      <c r="D235" s="13" t="inlineStr">
        <is>
          <t>Подсолнечник товарный</t>
        </is>
      </c>
      <c r="E235" s="13" t="inlineStr">
        <is>
          <t>ГРК</t>
        </is>
      </c>
      <c r="F235" s="20" t="n">
        <v>223</v>
      </c>
    </row>
    <row r="236">
      <c r="A236" s="17" t="n">
        <v>46164</v>
      </c>
      <c r="B236" s="13" t="inlineStr">
        <is>
          <t>пт</t>
        </is>
      </c>
      <c r="C236" s="13" t="inlineStr">
        <is>
          <t>Хим обработка №2</t>
        </is>
      </c>
      <c r="D236" s="13" t="inlineStr">
        <is>
          <t>Горох овощной (богара)</t>
        </is>
      </c>
      <c r="E236" s="13" t="inlineStr">
        <is>
          <t>ГРК</t>
        </is>
      </c>
      <c r="F236" s="20" t="n">
        <v>63</v>
      </c>
    </row>
    <row r="237">
      <c r="A237" s="17" t="n">
        <v>46164</v>
      </c>
      <c r="B237" s="13" t="inlineStr">
        <is>
          <t>пт</t>
        </is>
      </c>
      <c r="C237" s="13" t="inlineStr">
        <is>
          <t>Хим обработка №2</t>
        </is>
      </c>
      <c r="D237" s="13" t="inlineStr">
        <is>
          <t>Горох овощной (богара)</t>
        </is>
      </c>
      <c r="E237" s="13" t="inlineStr">
        <is>
          <t>ГРК</t>
        </is>
      </c>
      <c r="F237" s="20" t="n">
        <v>165</v>
      </c>
    </row>
    <row r="238">
      <c r="A238" s="17" t="n">
        <v>46164</v>
      </c>
      <c r="B238" s="13" t="inlineStr">
        <is>
          <t>пт</t>
        </is>
      </c>
      <c r="C238" s="13" t="inlineStr">
        <is>
          <t>Хим обработка №2</t>
        </is>
      </c>
      <c r="D238" s="13" t="inlineStr">
        <is>
          <t>Горох овощной (полив)</t>
        </is>
      </c>
      <c r="E238" s="13" t="inlineStr">
        <is>
          <t>ГРК</t>
        </is>
      </c>
      <c r="F238" s="20" t="n">
        <v>20</v>
      </c>
    </row>
    <row r="239">
      <c r="A239" s="17" t="n">
        <v>46164</v>
      </c>
      <c r="B239" s="13" t="inlineStr">
        <is>
          <t>пт</t>
        </is>
      </c>
      <c r="C239" s="13" t="inlineStr">
        <is>
          <t>Хим обработка №2</t>
        </is>
      </c>
      <c r="D239" s="13" t="inlineStr">
        <is>
          <t>Пшеница озимая</t>
        </is>
      </c>
      <c r="E239" s="13" t="inlineStr">
        <is>
          <t>ГРК</t>
        </is>
      </c>
      <c r="F239" s="20" t="n">
        <v>50</v>
      </c>
    </row>
    <row r="240">
      <c r="A240" s="17" t="n">
        <v>46165</v>
      </c>
      <c r="B240" s="13" t="inlineStr">
        <is>
          <t>сб</t>
        </is>
      </c>
      <c r="C240" s="13" t="inlineStr">
        <is>
          <t>Культивация№3</t>
        </is>
      </c>
      <c r="D240" s="13" t="inlineStr">
        <is>
          <t>Подсолнечник гибридный</t>
        </is>
      </c>
      <c r="E240" s="13" t="inlineStr">
        <is>
          <t>ГРК</t>
        </is>
      </c>
      <c r="F240" s="20" t="n">
        <v>58</v>
      </c>
    </row>
    <row r="241">
      <c r="A241" s="17" t="n">
        <v>46165</v>
      </c>
      <c r="B241" s="13" t="inlineStr">
        <is>
          <t>сб</t>
        </is>
      </c>
      <c r="C241" s="13" t="inlineStr">
        <is>
          <t>СЕВ СЛАДКОЙ КУКУРУЗЫ</t>
        </is>
      </c>
      <c r="D241" s="13" t="inlineStr">
        <is>
          <t>Кукуруза сладкая</t>
        </is>
      </c>
      <c r="E241" s="13" t="inlineStr">
        <is>
          <t>Киров</t>
        </is>
      </c>
      <c r="F241" s="20" t="n">
        <v>39</v>
      </c>
    </row>
    <row r="242">
      <c r="A242" s="17" t="n">
        <v>46165</v>
      </c>
      <c r="B242" s="13" t="inlineStr">
        <is>
          <t>сб</t>
        </is>
      </c>
      <c r="C242" s="13" t="inlineStr">
        <is>
          <t>Сев зерновых</t>
        </is>
      </c>
      <c r="D242" s="13" t="inlineStr">
        <is>
          <t>Подсолнечник гибридный</t>
        </is>
      </c>
      <c r="E242" s="13" t="inlineStr">
        <is>
          <t>ГРК</t>
        </is>
      </c>
      <c r="F242" s="20" t="n">
        <v>84</v>
      </c>
    </row>
    <row r="243">
      <c r="A243" s="17" t="n">
        <v>46165</v>
      </c>
      <c r="B243" s="13" t="inlineStr">
        <is>
          <t>сб</t>
        </is>
      </c>
      <c r="C243" s="13" t="inlineStr">
        <is>
          <t>Хим обработка</t>
        </is>
      </c>
      <c r="D243" s="13" t="inlineStr">
        <is>
          <t>Горох овощной (полив)</t>
        </is>
      </c>
      <c r="E243" s="13" t="inlineStr">
        <is>
          <t>ГРК</t>
        </is>
      </c>
      <c r="F243" s="20" t="n">
        <v>39</v>
      </c>
    </row>
    <row r="244">
      <c r="A244" s="17" t="n">
        <v>46165</v>
      </c>
      <c r="B244" s="13" t="inlineStr">
        <is>
          <t>сб</t>
        </is>
      </c>
      <c r="C244" s="13" t="inlineStr">
        <is>
          <t>Хим обработка</t>
        </is>
      </c>
      <c r="D244" s="13" t="inlineStr">
        <is>
          <t>Горох овощной (полив)</t>
        </is>
      </c>
      <c r="E244" s="13" t="inlineStr">
        <is>
          <t>ГРК</t>
        </is>
      </c>
      <c r="F244" s="20" t="n">
        <v>93</v>
      </c>
    </row>
    <row r="245">
      <c r="A245" s="17" t="n">
        <v>46165</v>
      </c>
      <c r="B245" s="13" t="inlineStr">
        <is>
          <t>сб</t>
        </is>
      </c>
      <c r="C245" s="13" t="inlineStr">
        <is>
          <t>Хим обработка</t>
        </is>
      </c>
      <c r="D245" s="13" t="inlineStr">
        <is>
          <t>Горох овощной (полив)</t>
        </is>
      </c>
      <c r="E245" s="13" t="inlineStr">
        <is>
          <t>ГРК</t>
        </is>
      </c>
      <c r="F245" s="20" t="n">
        <v>151</v>
      </c>
    </row>
    <row r="246">
      <c r="A246" s="17" t="n">
        <v>46165</v>
      </c>
      <c r="B246" s="13" t="inlineStr">
        <is>
          <t>сб</t>
        </is>
      </c>
      <c r="C246" s="13" t="inlineStr">
        <is>
          <t>Хим обработка</t>
        </is>
      </c>
      <c r="D246" s="13" t="inlineStr">
        <is>
          <t>Кукуруза на зерно</t>
        </is>
      </c>
      <c r="E246" s="13" t="inlineStr">
        <is>
          <t>ГРК</t>
        </is>
      </c>
      <c r="F246" s="20" t="n">
        <v>170</v>
      </c>
    </row>
    <row r="247">
      <c r="A247" s="17" t="n">
        <v>46165</v>
      </c>
      <c r="B247" s="13" t="inlineStr">
        <is>
          <t>сб</t>
        </is>
      </c>
      <c r="C247" s="13" t="inlineStr">
        <is>
          <t>Хим обработка</t>
        </is>
      </c>
      <c r="D247" s="13" t="inlineStr">
        <is>
          <t>Подсолнечник товарный</t>
        </is>
      </c>
      <c r="E247" s="13" t="inlineStr">
        <is>
          <t>ГРК</t>
        </is>
      </c>
      <c r="F247" s="20" t="n">
        <v>190</v>
      </c>
    </row>
    <row r="248">
      <c r="A248" s="17" t="n">
        <v>46165</v>
      </c>
      <c r="B248" s="13" t="inlineStr">
        <is>
          <t>сб</t>
        </is>
      </c>
      <c r="C248" s="13" t="inlineStr">
        <is>
          <t>Хим обработка №2</t>
        </is>
      </c>
      <c r="D248" s="13" t="inlineStr">
        <is>
          <t>Горох овощной (богара)</t>
        </is>
      </c>
      <c r="E248" s="13" t="inlineStr">
        <is>
          <t>ГРК</t>
        </is>
      </c>
      <c r="F248" s="20" t="n">
        <v>30</v>
      </c>
    </row>
    <row r="249">
      <c r="A249" s="17" t="n">
        <v>46166</v>
      </c>
      <c r="B249" s="13" t="inlineStr">
        <is>
          <t>вс</t>
        </is>
      </c>
      <c r="C249" s="13" t="inlineStr">
        <is>
          <t>СЕВ СЛАДКОЙ КУКУРУЗЫ</t>
        </is>
      </c>
      <c r="D249" s="13" t="inlineStr">
        <is>
          <t>Кукуруза сахарная</t>
        </is>
      </c>
      <c r="E249" s="13" t="inlineStr">
        <is>
          <t>Ипатовский(винодельнийский)</t>
        </is>
      </c>
      <c r="F249" s="20" t="n">
        <v>50</v>
      </c>
    </row>
    <row r="250">
      <c r="A250" s="17" t="n">
        <v>46166</v>
      </c>
      <c r="B250" s="13" t="inlineStr">
        <is>
          <t>вс</t>
        </is>
      </c>
      <c r="C250" s="13" t="inlineStr">
        <is>
          <t>Хим обработка</t>
        </is>
      </c>
      <c r="D250" s="13" t="inlineStr">
        <is>
          <t>Горох овощной (богара)</t>
        </is>
      </c>
      <c r="E250" s="13" t="inlineStr">
        <is>
          <t>ГРК</t>
        </is>
      </c>
      <c r="F250" s="20" t="n">
        <v>57</v>
      </c>
    </row>
    <row r="251">
      <c r="A251" s="17" t="n">
        <v>46166</v>
      </c>
      <c r="B251" s="13" t="inlineStr">
        <is>
          <t>вс</t>
        </is>
      </c>
      <c r="C251" s="13" t="inlineStr">
        <is>
          <t>Хим обработка</t>
        </is>
      </c>
      <c r="D251" s="13" t="inlineStr">
        <is>
          <t>Горох овощной (полив)</t>
        </is>
      </c>
      <c r="E251" s="13" t="inlineStr">
        <is>
          <t>ГРК</t>
        </is>
      </c>
      <c r="F251" s="20" t="n">
        <v>62</v>
      </c>
    </row>
    <row r="252">
      <c r="A252" s="17" t="n">
        <v>46166</v>
      </c>
      <c r="B252" s="13" t="inlineStr">
        <is>
          <t>вс</t>
        </is>
      </c>
      <c r="C252" s="13" t="inlineStr">
        <is>
          <t>Хим обработка</t>
        </is>
      </c>
      <c r="D252" s="13" t="inlineStr">
        <is>
          <t>Кукуруза супер.сладкая(полив)</t>
        </is>
      </c>
      <c r="E252" s="13" t="inlineStr">
        <is>
          <t>ГРК</t>
        </is>
      </c>
      <c r="F252" s="20" t="n">
        <v>117</v>
      </c>
    </row>
    <row r="253">
      <c r="A253" s="17" t="n">
        <v>46166</v>
      </c>
      <c r="B253" s="13" t="inlineStr">
        <is>
          <t>вс</t>
        </is>
      </c>
      <c r="C253" s="13" t="inlineStr">
        <is>
          <t>Хим обработка</t>
        </is>
      </c>
      <c r="D253" s="13" t="inlineStr">
        <is>
          <t>Подсолнечник товарный</t>
        </is>
      </c>
      <c r="E253" s="13" t="inlineStr">
        <is>
          <t>ГРК</t>
        </is>
      </c>
      <c r="F253" s="20" t="n">
        <v>67</v>
      </c>
    </row>
    <row r="254">
      <c r="A254" s="17" t="n">
        <v>46166</v>
      </c>
      <c r="B254" s="13" t="inlineStr">
        <is>
          <t>вс</t>
        </is>
      </c>
      <c r="C254" s="13" t="inlineStr">
        <is>
          <t>Хим обработка №2</t>
        </is>
      </c>
      <c r="D254" s="13" t="inlineStr">
        <is>
          <t>Пшеница озимая</t>
        </is>
      </c>
      <c r="E254" s="13" t="inlineStr">
        <is>
          <t>ГРК</t>
        </is>
      </c>
      <c r="F254" s="20" t="n">
        <v>216</v>
      </c>
    </row>
  </sheetData>
  <autoFilter ref="A4:F25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2026-10-16T18:28:38Z</dcterms:created>
  <dcterms:modified xsi:type="dcterms:W3CDTF">2026-10-16T18:28:38Z</dcterms:modified>
</cp:coreProperties>
</file>