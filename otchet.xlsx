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одка" sheetId="1" state="visible" r:id="rId3"/>
    <sheet name="По дням" sheetId="2" state="visible" r:id="rId4"/>
    <sheet name="Сроки" sheetId="3" state="visible" r:id="rId5"/>
    <sheet name="Данные" sheetId="4" state="visible" r:id="rId6"/>
    <sheet name="Выработка" sheetId="5" state="visible" r:id="rId7"/>
  </sheets>
  <definedNames>
    <definedName function="false" hidden="true" localSheetId="4" name="_xlnm._FilterDatabase" vbProcedure="false">Выработка!$A$4:$F$254</definedName>
    <definedName function="false" hidden="true" localSheetId="3" name="_xlnm._FilterDatabase" vbProcedure="false">Данные!$A$4:$N$62</definedName>
    <definedName function="false" hidden="true" localSheetId="2" name="_xlnm._FilterDatabase" vbProcedure="false">Сроки!$A$4:$J$62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<sst xmlns="http://schemas.openxmlformats.org/spreadsheetml/2006/main" count="1540" uniqueCount="123">
  <si>
    <t xml:space="preserve">ПЛАН-ФАКТ ПОЛЕВЫХ РАБОТ 2026</t>
  </si>
  <si>
    <t xml:space="preserve">На 24.05.2026 · собрано автоматически из листа «Общий свод 2026» · все числа — формулы к листам «Данные» и «Выработка»</t>
  </si>
  <si>
    <t xml:space="preserve">Вид работ</t>
  </si>
  <si>
    <t xml:space="preserve">План, га</t>
  </si>
  <si>
    <t xml:space="preserve">Факт, га</t>
  </si>
  <si>
    <t xml:space="preserve">Остаток, га</t>
  </si>
  <si>
    <t xml:space="preserve">Выполнение</t>
  </si>
  <si>
    <t xml:space="preserve">Статус</t>
  </si>
  <si>
    <t xml:space="preserve">Позиций</t>
  </si>
  <si>
    <t xml:space="preserve">Хим обработка</t>
  </si>
  <si>
    <t xml:space="preserve">Хим обработка №2</t>
  </si>
  <si>
    <t xml:space="preserve">Внесение мин.удобрений №1</t>
  </si>
  <si>
    <t xml:space="preserve">Внесение мин.удобрений №2</t>
  </si>
  <si>
    <t xml:space="preserve">Предпосевная культивация</t>
  </si>
  <si>
    <t xml:space="preserve">Сев горошка</t>
  </si>
  <si>
    <t xml:space="preserve">Сев зерновых</t>
  </si>
  <si>
    <t xml:space="preserve">Культивация№1</t>
  </si>
  <si>
    <t xml:space="preserve">Культивация№111</t>
  </si>
  <si>
    <t xml:space="preserve">СЕВ СЛАДКОЙ КУКУРУЗЫ</t>
  </si>
  <si>
    <t xml:space="preserve">Прикатывание до всходов</t>
  </si>
  <si>
    <t xml:space="preserve">Культивация№2</t>
  </si>
  <si>
    <t xml:space="preserve">Культивация№3</t>
  </si>
  <si>
    <t xml:space="preserve">Глубокое рыхление 40-45</t>
  </si>
  <si>
    <t xml:space="preserve">ИТОГО ПО ПРЕДПРИЯТИЮ</t>
  </si>
  <si>
    <t xml:space="preserve">ВЫРАБОТКА ПО ДНЯМ, га — последние 30 рабочих дней</t>
  </si>
  <si>
    <t xml:space="preserve">На 24.05.2026 · «Накоплено» — нарастающим итогом с начала сезона</t>
  </si>
  <si>
    <t xml:space="preserve">Накоплено</t>
  </si>
  <si>
    <t xml:space="preserve">сб
18.04</t>
  </si>
  <si>
    <t xml:space="preserve">вс
19.04</t>
  </si>
  <si>
    <t xml:space="preserve">пн
20.04</t>
  </si>
  <si>
    <t xml:space="preserve">ср
22.04</t>
  </si>
  <si>
    <t xml:space="preserve">чт
23.04</t>
  </si>
  <si>
    <t xml:space="preserve">сб
25.04</t>
  </si>
  <si>
    <t xml:space="preserve">вс
26.04</t>
  </si>
  <si>
    <t xml:space="preserve">пн
27.04</t>
  </si>
  <si>
    <t xml:space="preserve">вт
28.04</t>
  </si>
  <si>
    <t xml:space="preserve">ср
29.04</t>
  </si>
  <si>
    <t xml:space="preserve">чт
30.04</t>
  </si>
  <si>
    <t xml:space="preserve">пт
01.05</t>
  </si>
  <si>
    <t xml:space="preserve">сб
02.05</t>
  </si>
  <si>
    <t xml:space="preserve">вс
03.05</t>
  </si>
  <si>
    <t xml:space="preserve">пн
04.05</t>
  </si>
  <si>
    <t xml:space="preserve">вт
05.05</t>
  </si>
  <si>
    <t xml:space="preserve">ср
06.05</t>
  </si>
  <si>
    <t xml:space="preserve">чт
07.05</t>
  </si>
  <si>
    <t xml:space="preserve">пт
08.05</t>
  </si>
  <si>
    <t xml:space="preserve">сб
09.05</t>
  </si>
  <si>
    <t xml:space="preserve">вс
10.05</t>
  </si>
  <si>
    <t xml:space="preserve">пн
11.05</t>
  </si>
  <si>
    <t xml:space="preserve">вт
12.05</t>
  </si>
  <si>
    <t xml:space="preserve">ср
13.05</t>
  </si>
  <si>
    <t xml:space="preserve">пн
18.05</t>
  </si>
  <si>
    <t xml:space="preserve">вт
19.05</t>
  </si>
  <si>
    <t xml:space="preserve">ср
20.05</t>
  </si>
  <si>
    <t xml:space="preserve">пт
22.05</t>
  </si>
  <si>
    <t xml:space="preserve">сб
23.05</t>
  </si>
  <si>
    <t xml:space="preserve">вс
24.05</t>
  </si>
  <si>
    <t xml:space="preserve">Итого
за период</t>
  </si>
  <si>
    <t xml:space="preserve">ИТОГО ЗА ДЕНЬ</t>
  </si>
  <si>
    <t xml:space="preserve">СРОКИ ВЫПОЛНЕНИЯ РАБОТ</t>
  </si>
  <si>
    <t xml:space="preserve">На 24.05.2026 · положительный сдвиг = вышли в поле позже агротехнического срока</t>
  </si>
  <si>
    <t xml:space="preserve">Культура</t>
  </si>
  <si>
    <t xml:space="preserve">Предприятие</t>
  </si>
  <si>
    <t xml:space="preserve">Начало ПЛАН</t>
  </si>
  <si>
    <t xml:space="preserve">Окончание ПЛАН</t>
  </si>
  <si>
    <t xml:space="preserve">Начало ФАКТ</t>
  </si>
  <si>
    <t xml:space="preserve">Окончание ФАКТ</t>
  </si>
  <si>
    <t xml:space="preserve">Сдвиг старта, дн.</t>
  </si>
  <si>
    <t xml:space="preserve">Комментарий</t>
  </si>
  <si>
    <t xml:space="preserve">Пшеница озимая</t>
  </si>
  <si>
    <t xml:space="preserve">ГРК</t>
  </si>
  <si>
    <t xml:space="preserve">Подсонечниик</t>
  </si>
  <si>
    <t xml:space="preserve">Рапс озимый</t>
  </si>
  <si>
    <t xml:space="preserve">Горох овощной (богара)</t>
  </si>
  <si>
    <t xml:space="preserve">Горох овощной (полив)</t>
  </si>
  <si>
    <t xml:space="preserve">Подсолнечник товарный</t>
  </si>
  <si>
    <t xml:space="preserve">Кукуруза на зерно</t>
  </si>
  <si>
    <t xml:space="preserve">Кукуруза супер.сладкая(полив)</t>
  </si>
  <si>
    <t xml:space="preserve">Подсолнечник гибридный</t>
  </si>
  <si>
    <t xml:space="preserve">Подсолнечник</t>
  </si>
  <si>
    <t xml:space="preserve">кукуруза супер сладкая</t>
  </si>
  <si>
    <t xml:space="preserve">АгроЛидер</t>
  </si>
  <si>
    <t xml:space="preserve">Колос</t>
  </si>
  <si>
    <t xml:space="preserve">Кукуруза (сладкая)</t>
  </si>
  <si>
    <t xml:space="preserve">Кукуруза сладкая</t>
  </si>
  <si>
    <t xml:space="preserve">Киров</t>
  </si>
  <si>
    <t xml:space="preserve">Кукуруза суперсладкая</t>
  </si>
  <si>
    <t xml:space="preserve">Ипатовский(винодельнийский)</t>
  </si>
  <si>
    <t xml:space="preserve">Кукуруза сахарная</t>
  </si>
  <si>
    <t xml:space="preserve">ДАННЫЕ — плоская выгрузка «Общего свода»</t>
  </si>
  <si>
    <t xml:space="preserve">Значения выгружены из свода. Столбцы H и I — формулы; остальное менять только в своде.</t>
  </si>
  <si>
    <t xml:space="preserve">Раздел</t>
  </si>
  <si>
    <t xml:space="preserve">Подоперация</t>
  </si>
  <si>
    <t xml:space="preserve">Выполнение, %</t>
  </si>
  <si>
    <t xml:space="preserve">Строка свода</t>
  </si>
  <si>
    <t xml:space="preserve">ВЕСЕННЕ-ПОЛЕВЫЕ РАБОТЫ</t>
  </si>
  <si>
    <t xml:space="preserve">гербицидная</t>
  </si>
  <si>
    <t xml:space="preserve">фунгицидная (1 раз)</t>
  </si>
  <si>
    <t xml:space="preserve">Противозлаковая</t>
  </si>
  <si>
    <t xml:space="preserve">глифосатная</t>
  </si>
  <si>
    <t xml:space="preserve">довсходовая глифосатная</t>
  </si>
  <si>
    <t xml:space="preserve">По всходам гербицидом</t>
  </si>
  <si>
    <t xml:space="preserve">Листовая</t>
  </si>
  <si>
    <t xml:space="preserve">Гербицидная</t>
  </si>
  <si>
    <t xml:space="preserve">инсектицидная-фунгицидная (1 раз)</t>
  </si>
  <si>
    <t xml:space="preserve">инсектицидная-фунгицидная (2 раз)</t>
  </si>
  <si>
    <t xml:space="preserve">инскктицидно-фунгицидная</t>
  </si>
  <si>
    <t xml:space="preserve">По всходам гербицидом (2 раз)</t>
  </si>
  <si>
    <t xml:space="preserve">фунгицидная (2 раз)</t>
  </si>
  <si>
    <t xml:space="preserve">Селитра аммиачная</t>
  </si>
  <si>
    <t xml:space="preserve">культивация №4</t>
  </si>
  <si>
    <t xml:space="preserve">ВЫРАБОТКА ПО ДНЯМ — длинная таблица</t>
  </si>
  <si>
    <t xml:space="preserve">Одна строка = один день по одному срезу. Источник для сводных формул.</t>
  </si>
  <si>
    <t xml:space="preserve">Дата</t>
  </si>
  <si>
    <t xml:space="preserve">День</t>
  </si>
  <si>
    <t xml:space="preserve">Га за день</t>
  </si>
  <si>
    <t xml:space="preserve">пт</t>
  </si>
  <si>
    <t xml:space="preserve">сб</t>
  </si>
  <si>
    <t xml:space="preserve">вс</t>
  </si>
  <si>
    <t xml:space="preserve">пн</t>
  </si>
  <si>
    <t xml:space="preserve">вт</t>
  </si>
  <si>
    <t xml:space="preserve">ср</t>
  </si>
  <si>
    <t xml:space="preserve">чт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</si>
</sst>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General"/>
    <numFmt numFmtId="168" formatCode="dd\.mm\.yyyy"/>
    <numFmt numFmtId="169" formatCode="0"/>
    <numFmt numFmtId="170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6211C"/>
      <name val="Arial"/>
      <family val="0"/>
      <charset val="1"/>
    </font>
    <font>
      <i val="true"/>
      <sz val="9"/>
      <color rgb="FF6B746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"/>
      <color rgb="FFFFFFFF"/>
      <name val="Arial"/>
      <family val="0"/>
      <charset val="1"/>
    </font>
    <font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6211C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8CC"/>
      </left>
      <right style="thin">
        <color rgb="FFD3D8CC"/>
      </right>
      <top style="thin">
        <color rgb="FFD3D8CC"/>
      </top>
      <bottom style="thin">
        <color rgb="FFD3D8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name val="Arial"/>
        <charset val="1"/>
        <family val="0"/>
        <b val="1"/>
        <color rgb="FFA63D28"/>
        <sz val="10"/>
      </font>
    </dxf>
    <dxf>
      <font>
        <name val="Arial"/>
        <charset val="1"/>
        <family val="0"/>
        <color rgb="FFB57E0C"/>
        <sz val="10"/>
      </font>
    </dxf>
    <dxf>
      <fill>
        <patternFill patternType="solid">
          <fgColor rgb="FF16211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A63D28"/>
          <bgColor rgb="FF000000"/>
        </patternFill>
      </fill>
    </dxf>
    <dxf>
      <font>
        <name val="Arial"/>
        <charset val="1"/>
        <family val="0"/>
        <b val="1"/>
        <color rgb="FFA63D28"/>
        <sz val="9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57E0C"/>
      <rgbColor rgb="FF800080"/>
      <rgbColor rgb="FF008080"/>
      <rgbColor rgb="FFC0C0C0"/>
      <rgbColor rgb="FF6B7469"/>
      <rgbColor rgb="FF9999FF"/>
      <rgbColor rgb="FF993366"/>
      <rgbColor rgb="FFFFFFCC"/>
      <rgbColor rgb="FFCCFFFF"/>
      <rgbColor rgb="FF660066"/>
      <rgbColor rgb="FFFF8080"/>
      <rgbColor rgb="FF0066CC"/>
      <rgbColor rgb="FFD3D8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6211C"/>
      <rgbColor rgb="FF333300"/>
      <rgbColor rgb="FFA63D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2"/>
    <col collapsed="false" customWidth="true" hidden="false" outlineLevel="0" max="5" min="4" style="0" width="13"/>
    <col collapsed="false" customWidth="true" hidden="false" outlineLevel="0" max="6" min="6" style="0" width="16"/>
    <col collapsed="false" customWidth="true" hidden="false" outlineLevel="0" max="7" min="7" style="0" width="1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 t="n">
        <f aca="false">SUMIF(Данные!$B$5:$B$62,$A5,Данные!$F$5:$F$62)</f>
        <v>12627</v>
      </c>
      <c r="C5" s="5" t="n">
        <f aca="false">SUMIF(Данные!$B$5:$B$62,$A5,Данные!$G$5:$G$62)</f>
        <v>11198</v>
      </c>
      <c r="D5" s="5" t="n">
        <f aca="false">B5-C5</f>
        <v>1429</v>
      </c>
      <c r="E5" s="6" t="n">
        <f aca="false">IFERROR(C5/B5,0)</f>
        <v>0.886829809139146</v>
      </c>
      <c r="F5" s="7" t="str">
        <f aca="false">IF(E5&gt;=0.995,"завершено",IF(E5&gt;=0.7,"в графике",IF(E5&gt;=0.35,"отставание","срыв срока")))</f>
        <v>в графике</v>
      </c>
      <c r="G5" s="8" t="n">
        <f aca="false">COUNTIF(Данные!$B$5:$B$62,$A5)</f>
        <v>13</v>
      </c>
    </row>
    <row r="6" customFormat="false" ht="15" hidden="false" customHeight="false" outlineLevel="0" collapsed="false">
      <c r="A6" s="4" t="s">
        <v>10</v>
      </c>
      <c r="B6" s="5" t="n">
        <f aca="false">SUMIF(Данные!$B$5:$B$62,$A6,Данные!$F$5:$F$62)</f>
        <v>6276</v>
      </c>
      <c r="C6" s="5" t="n">
        <f aca="false">SUMIF(Данные!$B$5:$B$62,$A6,Данные!$G$5:$G$62)</f>
        <v>3720</v>
      </c>
      <c r="D6" s="5" t="n">
        <f aca="false">B6-C6</f>
        <v>2556</v>
      </c>
      <c r="E6" s="6" t="n">
        <f aca="false">IFERROR(C6/B6,0)</f>
        <v>0.592734225621415</v>
      </c>
      <c r="F6" s="7" t="str">
        <f aca="false">IF(E6&gt;=0.995,"завершено",IF(E6&gt;=0.7,"в графике",IF(E6&gt;=0.35,"отставание","срыв срока")))</f>
        <v>отставание</v>
      </c>
      <c r="G6" s="8" t="n">
        <f aca="false">COUNTIF(Данные!$B$5:$B$62,$A6)</f>
        <v>6</v>
      </c>
    </row>
    <row r="7" customFormat="false" ht="15" hidden="false" customHeight="false" outlineLevel="0" collapsed="false">
      <c r="A7" s="4" t="s">
        <v>11</v>
      </c>
      <c r="B7" s="5" t="n">
        <f aca="false">SUMIF(Данные!$B$5:$B$62,$A7,Данные!$F$5:$F$62)</f>
        <v>4827</v>
      </c>
      <c r="C7" s="5" t="n">
        <f aca="false">SUMIF(Данные!$B$5:$B$62,$A7,Данные!$G$5:$G$62)</f>
        <v>4338</v>
      </c>
      <c r="D7" s="5" t="n">
        <f aca="false">B7-C7</f>
        <v>489</v>
      </c>
      <c r="E7" s="6" t="n">
        <f aca="false">IFERROR(C7/B7,0)</f>
        <v>0.89869484151647</v>
      </c>
      <c r="F7" s="7" t="str">
        <f aca="false">IF(E7&gt;=0.995,"завершено",IF(E7&gt;=0.7,"в графике",IF(E7&gt;=0.35,"отставание","срыв срока")))</f>
        <v>в графике</v>
      </c>
      <c r="G7" s="8" t="n">
        <f aca="false">COUNTIF(Данные!$B$5:$B$62,$A7)</f>
        <v>3</v>
      </c>
    </row>
    <row r="8" customFormat="false" ht="15" hidden="false" customHeight="false" outlineLevel="0" collapsed="false">
      <c r="A8" s="4" t="s">
        <v>12</v>
      </c>
      <c r="B8" s="5" t="n">
        <f aca="false">SUMIF(Данные!$B$5:$B$62,$A8,Данные!$F$5:$F$62)</f>
        <v>4049</v>
      </c>
      <c r="C8" s="5" t="n">
        <f aca="false">SUMIF(Данные!$B$5:$B$62,$A8,Данные!$G$5:$G$62)</f>
        <v>4049</v>
      </c>
      <c r="D8" s="5" t="n">
        <f aca="false">B8-C8</f>
        <v>0</v>
      </c>
      <c r="E8" s="6" t="n">
        <f aca="false">IFERROR(C8/B8,0)</f>
        <v>1</v>
      </c>
      <c r="F8" s="7" t="str">
        <f aca="false">IF(E8&gt;=0.995,"завершено",IF(E8&gt;=0.7,"в графике",IF(E8&gt;=0.35,"отставание","срыв срока")))</f>
        <v>завершено</v>
      </c>
      <c r="G8" s="8" t="n">
        <f aca="false">COUNTIF(Данные!$B$5:$B$62,$A8)</f>
        <v>2</v>
      </c>
    </row>
    <row r="9" customFormat="false" ht="15" hidden="false" customHeight="false" outlineLevel="0" collapsed="false">
      <c r="A9" s="4" t="s">
        <v>13</v>
      </c>
      <c r="B9" s="5" t="n">
        <f aca="false">SUMIF(Данные!$B$5:$B$62,$A9,Данные!$F$5:$F$62)</f>
        <v>2234</v>
      </c>
      <c r="C9" s="5" t="n">
        <f aca="false">SUMIF(Данные!$B$5:$B$62,$A9,Данные!$G$5:$G$62)</f>
        <v>2075</v>
      </c>
      <c r="D9" s="5" t="n">
        <f aca="false">B9-C9</f>
        <v>159</v>
      </c>
      <c r="E9" s="6" t="n">
        <f aca="false">IFERROR(C9/B9,0)</f>
        <v>0.928827215756491</v>
      </c>
      <c r="F9" s="7" t="str">
        <f aca="false">IF(E9&gt;=0.995,"завершено",IF(E9&gt;=0.7,"в графике",IF(E9&gt;=0.35,"отставание","срыв срока")))</f>
        <v>в графике</v>
      </c>
      <c r="G9" s="8" t="n">
        <f aca="false">COUNTIF(Данные!$B$5:$B$62,$A9)</f>
        <v>7</v>
      </c>
    </row>
    <row r="10" customFormat="false" ht="15" hidden="false" customHeight="false" outlineLevel="0" collapsed="false">
      <c r="A10" s="4" t="s">
        <v>14</v>
      </c>
      <c r="B10" s="5" t="n">
        <f aca="false">SUMIF(Данные!$B$5:$B$62,$A10,Данные!$F$5:$F$62)</f>
        <v>1907.16</v>
      </c>
      <c r="C10" s="5" t="n">
        <f aca="false">SUMIF(Данные!$B$5:$B$62,$A10,Данные!$G$5:$G$62)</f>
        <v>1907.1</v>
      </c>
      <c r="D10" s="5" t="n">
        <f aca="false">B10-C10</f>
        <v>0.0600000000001728</v>
      </c>
      <c r="E10" s="6" t="n">
        <f aca="false">IFERROR(C10/B10,0)</f>
        <v>0.999968539608633</v>
      </c>
      <c r="F10" s="7" t="str">
        <f aca="false">IF(E10&gt;=0.995,"завершено",IF(E10&gt;=0.7,"в графике",IF(E10&gt;=0.35,"отставание","срыв срока")))</f>
        <v>завершено</v>
      </c>
      <c r="G10" s="8" t="n">
        <f aca="false">COUNTIF(Данные!$B$5:$B$62,$A10)</f>
        <v>4</v>
      </c>
    </row>
    <row r="11" customFormat="false" ht="15" hidden="false" customHeight="false" outlineLevel="0" collapsed="false">
      <c r="A11" s="4" t="s">
        <v>15</v>
      </c>
      <c r="B11" s="5" t="n">
        <f aca="false">SUMIF(Данные!$B$5:$B$62,$A11,Данные!$F$5:$F$62)</f>
        <v>1296</v>
      </c>
      <c r="C11" s="5" t="n">
        <f aca="false">SUMIF(Данные!$B$5:$B$62,$A11,Данные!$G$5:$G$62)</f>
        <v>1231</v>
      </c>
      <c r="D11" s="5" t="n">
        <f aca="false">B11-C11</f>
        <v>65</v>
      </c>
      <c r="E11" s="6" t="n">
        <f aca="false">IFERROR(C11/B11,0)</f>
        <v>0.949845679012346</v>
      </c>
      <c r="F11" s="7" t="str">
        <f aca="false">IF(E11&gt;=0.995,"завершено",IF(E11&gt;=0.7,"в графике",IF(E11&gt;=0.35,"отставание","срыв срока")))</f>
        <v>в графике</v>
      </c>
      <c r="G11" s="8" t="n">
        <f aca="false">COUNTIF(Данные!$B$5:$B$62,$A11)</f>
        <v>3</v>
      </c>
    </row>
    <row r="12" customFormat="false" ht="15" hidden="false" customHeight="false" outlineLevel="0" collapsed="false">
      <c r="A12" s="4" t="s">
        <v>16</v>
      </c>
      <c r="B12" s="5" t="n">
        <f aca="false">SUMIF(Данные!$B$5:$B$62,$A12,Данные!$F$5:$F$62)</f>
        <v>970</v>
      </c>
      <c r="C12" s="5" t="n">
        <f aca="false">SUMIF(Данные!$B$5:$B$62,$A12,Данные!$G$5:$G$62)</f>
        <v>725</v>
      </c>
      <c r="D12" s="5" t="n">
        <f aca="false">B12-C12</f>
        <v>245</v>
      </c>
      <c r="E12" s="6" t="n">
        <f aca="false">IFERROR(C12/B12,0)</f>
        <v>0.747422680412371</v>
      </c>
      <c r="F12" s="7" t="str">
        <f aca="false">IF(E12&gt;=0.995,"завершено",IF(E12&gt;=0.7,"в графике",IF(E12&gt;=0.35,"отставание","срыв срока")))</f>
        <v>в графике</v>
      </c>
      <c r="G12" s="8" t="n">
        <f aca="false">COUNTIF(Данные!$B$5:$B$62,$A12)</f>
        <v>5</v>
      </c>
    </row>
    <row r="13" customFormat="false" ht="15" hidden="false" customHeight="false" outlineLevel="0" collapsed="false">
      <c r="A13" s="4" t="s">
        <v>17</v>
      </c>
      <c r="B13" s="5" t="n">
        <f aca="false">SUMIF(Данные!$B$5:$B$62,$A13,Данные!$F$5:$F$62)</f>
        <v>970</v>
      </c>
      <c r="C13" s="5" t="n">
        <f aca="false">SUMIF(Данные!$B$5:$B$62,$A13,Данные!$G$5:$G$62)</f>
        <v>725</v>
      </c>
      <c r="D13" s="5" t="n">
        <f aca="false">B13-C13</f>
        <v>245</v>
      </c>
      <c r="E13" s="6" t="n">
        <f aca="false">IFERROR(C13/B13,0)</f>
        <v>0.747422680412371</v>
      </c>
      <c r="F13" s="7" t="str">
        <f aca="false">IF(E13&gt;=0.995,"завершено",IF(E13&gt;=0.7,"в графике",IF(E13&gt;=0.35,"отставание","срыв срока")))</f>
        <v>в графике</v>
      </c>
      <c r="G13" s="8" t="n">
        <f aca="false">COUNTIF(Данные!$B$5:$B$62,$A13)</f>
        <v>5</v>
      </c>
    </row>
    <row r="14" customFormat="false" ht="15" hidden="false" customHeight="false" outlineLevel="0" collapsed="false">
      <c r="A14" s="4" t="s">
        <v>18</v>
      </c>
      <c r="B14" s="5" t="n">
        <f aca="false">SUMIF(Данные!$B$5:$B$62,$A14,Данные!$F$5:$F$62)</f>
        <v>957</v>
      </c>
      <c r="C14" s="5" t="n">
        <f aca="false">SUMIF(Данные!$B$5:$B$62,$A14,Данные!$G$5:$G$62)</f>
        <v>464</v>
      </c>
      <c r="D14" s="5" t="n">
        <f aca="false">B14-C14</f>
        <v>493</v>
      </c>
      <c r="E14" s="6" t="n">
        <f aca="false">IFERROR(C14/B14,0)</f>
        <v>0.484848484848485</v>
      </c>
      <c r="F14" s="7" t="str">
        <f aca="false">IF(E14&gt;=0.995,"завершено",IF(E14&gt;=0.7,"в графике",IF(E14&gt;=0.35,"отставание","срыв срока")))</f>
        <v>отставание</v>
      </c>
      <c r="G14" s="8" t="n">
        <f aca="false">COUNTIF(Данные!$B$5:$B$62,$A14)</f>
        <v>4</v>
      </c>
    </row>
    <row r="15" customFormat="false" ht="15" hidden="false" customHeight="false" outlineLevel="0" collapsed="false">
      <c r="A15" s="4" t="s">
        <v>19</v>
      </c>
      <c r="B15" s="5" t="n">
        <f aca="false">SUMIF(Данные!$B$5:$B$62,$A15,Данные!$F$5:$F$62)</f>
        <v>778</v>
      </c>
      <c r="C15" s="5" t="n">
        <f aca="false">SUMIF(Данные!$B$5:$B$62,$A15,Данные!$G$5:$G$62)</f>
        <v>111</v>
      </c>
      <c r="D15" s="5" t="n">
        <f aca="false">B15-C15</f>
        <v>667</v>
      </c>
      <c r="E15" s="6" t="n">
        <f aca="false">IFERROR(C15/B15,0)</f>
        <v>0.1426735218509</v>
      </c>
      <c r="F15" s="7" t="str">
        <f aca="false">IF(E15&gt;=0.995,"завершено",IF(E15&gt;=0.7,"в графике",IF(E15&gt;=0.35,"отставание","срыв срока")))</f>
        <v>срыв срока</v>
      </c>
      <c r="G15" s="8" t="n">
        <f aca="false">COUNTIF(Данные!$B$5:$B$62,$A15)</f>
        <v>1</v>
      </c>
    </row>
    <row r="16" customFormat="false" ht="15" hidden="false" customHeight="false" outlineLevel="0" collapsed="false">
      <c r="A16" s="4" t="s">
        <v>20</v>
      </c>
      <c r="B16" s="5" t="n">
        <f aca="false">SUMIF(Данные!$B$5:$B$62,$A16,Данные!$F$5:$F$62)</f>
        <v>569</v>
      </c>
      <c r="C16" s="5" t="n">
        <f aca="false">SUMIF(Данные!$B$5:$B$62,$A16,Данные!$G$5:$G$62)</f>
        <v>203</v>
      </c>
      <c r="D16" s="5" t="n">
        <f aca="false">B16-C16</f>
        <v>366</v>
      </c>
      <c r="E16" s="6" t="n">
        <f aca="false">IFERROR(C16/B16,0)</f>
        <v>0.35676625659051</v>
      </c>
      <c r="F16" s="7" t="str">
        <f aca="false">IF(E16&gt;=0.995,"завершено",IF(E16&gt;=0.7,"в графике",IF(E16&gt;=0.35,"отставание","срыв срока")))</f>
        <v>отставание</v>
      </c>
      <c r="G16" s="8" t="n">
        <f aca="false">COUNTIF(Данные!$B$5:$B$62,$A16)</f>
        <v>2</v>
      </c>
    </row>
    <row r="17" customFormat="false" ht="15" hidden="false" customHeight="false" outlineLevel="0" collapsed="false">
      <c r="A17" s="4" t="s">
        <v>21</v>
      </c>
      <c r="B17" s="5" t="n">
        <f aca="false">SUMIF(Данные!$B$5:$B$62,$A17,Данные!$F$5:$F$62)</f>
        <v>298</v>
      </c>
      <c r="C17" s="5" t="n">
        <f aca="false">SUMIF(Данные!$B$5:$B$62,$A17,Данные!$G$5:$G$62)</f>
        <v>207</v>
      </c>
      <c r="D17" s="5" t="n">
        <f aca="false">B17-C17</f>
        <v>91</v>
      </c>
      <c r="E17" s="6" t="n">
        <f aca="false">IFERROR(C17/B17,0)</f>
        <v>0.694630872483222</v>
      </c>
      <c r="F17" s="7" t="str">
        <f aca="false">IF(E17&gt;=0.995,"завершено",IF(E17&gt;=0.7,"в графике",IF(E17&gt;=0.35,"отставание","срыв срока")))</f>
        <v>отставание</v>
      </c>
      <c r="G17" s="8" t="n">
        <f aca="false">COUNTIF(Данные!$B$5:$B$62,$A17)</f>
        <v>2</v>
      </c>
    </row>
    <row r="18" customFormat="false" ht="15" hidden="false" customHeight="false" outlineLevel="0" collapsed="false">
      <c r="A18" s="4" t="s">
        <v>22</v>
      </c>
      <c r="B18" s="5" t="n">
        <f aca="false">SUMIF(Данные!$B$5:$B$62,$A18,Данные!$F$5:$F$62)</f>
        <v>142</v>
      </c>
      <c r="C18" s="5" t="n">
        <f aca="false">SUMIF(Данные!$B$5:$B$62,$A18,Данные!$G$5:$G$62)</f>
        <v>103</v>
      </c>
      <c r="D18" s="5" t="n">
        <f aca="false">B18-C18</f>
        <v>39</v>
      </c>
      <c r="E18" s="6" t="n">
        <f aca="false">IFERROR(C18/B18,0)</f>
        <v>0.725352112676056</v>
      </c>
      <c r="F18" s="7" t="str">
        <f aca="false">IF(E18&gt;=0.995,"завершено",IF(E18&gt;=0.7,"в графике",IF(E18&gt;=0.35,"отставание","срыв срока")))</f>
        <v>в графике</v>
      </c>
      <c r="G18" s="8" t="n">
        <f aca="false">COUNTIF(Данные!$B$5:$B$62,$A18)</f>
        <v>1</v>
      </c>
    </row>
    <row r="19" customFormat="false" ht="15" hidden="false" customHeight="false" outlineLevel="0" collapsed="false">
      <c r="A19" s="9" t="s">
        <v>23</v>
      </c>
      <c r="B19" s="10" t="n">
        <f aca="false">SUM(B5:B18)</f>
        <v>37900.16</v>
      </c>
      <c r="C19" s="10" t="n">
        <f aca="false">SUM(C5:C18)</f>
        <v>31056.1</v>
      </c>
      <c r="D19" s="10" t="n">
        <f aca="false">B19-C19</f>
        <v>6844.06000000001</v>
      </c>
      <c r="E19" s="11" t="n">
        <f aca="false">IFERROR(C19/B19,0)</f>
        <v>0.819418704300984</v>
      </c>
      <c r="F19" s="12"/>
      <c r="G19" s="12" t="n">
        <f aca="false">SUM(G5:G18)</f>
        <v>58</v>
      </c>
    </row>
  </sheetData>
  <mergeCells count="2">
    <mergeCell ref="A1:G1"/>
    <mergeCell ref="A2:G2"/>
  </mergeCells>
  <conditionalFormatting sqref="E5:E18">
    <cfRule type="dataBar" priority="2">
      <dataBar showValue="1" minLength="10" maxLength="90">
        <cfvo type="num" val="0"/>
        <cfvo type="num" val="1"/>
        <color rgb="FF2E6B41"/>
      </dataBar>
      <extLst>
        <ext xmlns:x14="http://schemas.microsoft.com/office/spreadsheetml/2009/9/main" uri="{B025F937-C7B1-47D3-B67F-A62EFF666E3E}">
          <x14:id>{101561E7-9080-4960-96C7-239CA5C71585}</x14:id>
        </ext>
      </extLst>
    </cfRule>
  </conditionalFormatting>
  <conditionalFormatting sqref="F5:F18">
    <cfRule type="cellIs" priority="3" operator="lessThan" aboveAverage="0" equalAverage="0" bottom="0" percent="0" rank="0" text="" dxfId="0">
      <formula>0.35</formula>
    </cfRule>
    <cfRule type="cellIs" priority="4" operator="between" aboveAverage="0" equalAverage="0" bottom="0" percent="0" rank="0" text="" dxfId="1">
      <formula>0.35</formula>
      <formula>0.6999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1561E7-9080-4960-96C7-239CA5C71585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E6B41"/>
              <x14:axisColor rgb="FF000000"/>
            </x14:dataBar>
          </x14:cfRule>
          <xm:sqref>E5:E18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2" min="3" style="0" width="7.5"/>
    <col collapsed="false" customWidth="true" hidden="false" outlineLevel="0" max="33" min="33" style="0" width="11"/>
  </cols>
  <sheetData>
    <row r="1" customFormat="false" ht="21.75" hidden="false" customHeight="true" outlineLevel="0" collapsed="false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customFormat="false" ht="15" hidden="false" customHeight="false" outlineLevel="0" collapsed="false">
      <c r="A2" s="2" t="s">
        <v>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5" hidden="true" customHeight="false" outlineLevel="0" collapsed="false">
      <c r="C3" s="13" t="n">
        <v>46130</v>
      </c>
      <c r="D3" s="13" t="n">
        <v>46131</v>
      </c>
      <c r="E3" s="13" t="n">
        <v>46132</v>
      </c>
      <c r="F3" s="13" t="n">
        <v>46134</v>
      </c>
      <c r="G3" s="13" t="n">
        <v>46135</v>
      </c>
      <c r="H3" s="13" t="n">
        <v>46137</v>
      </c>
      <c r="I3" s="13" t="n">
        <v>46138</v>
      </c>
      <c r="J3" s="13" t="n">
        <v>46139</v>
      </c>
      <c r="K3" s="13" t="n">
        <v>46140</v>
      </c>
      <c r="L3" s="13" t="n">
        <v>46141</v>
      </c>
      <c r="M3" s="13" t="n">
        <v>46142</v>
      </c>
      <c r="N3" s="13" t="n">
        <v>46143</v>
      </c>
      <c r="O3" s="13" t="n">
        <v>46144</v>
      </c>
      <c r="P3" s="13" t="n">
        <v>46145</v>
      </c>
      <c r="Q3" s="13" t="n">
        <v>46146</v>
      </c>
      <c r="R3" s="13" t="n">
        <v>46147</v>
      </c>
      <c r="S3" s="13" t="n">
        <v>46148</v>
      </c>
      <c r="T3" s="13" t="n">
        <v>46149</v>
      </c>
      <c r="U3" s="13" t="n">
        <v>46150</v>
      </c>
      <c r="V3" s="13" t="n">
        <v>46151</v>
      </c>
      <c r="W3" s="13" t="n">
        <v>46152</v>
      </c>
      <c r="X3" s="13" t="n">
        <v>46153</v>
      </c>
      <c r="Y3" s="13" t="n">
        <v>46154</v>
      </c>
      <c r="Z3" s="13" t="n">
        <v>46155</v>
      </c>
      <c r="AA3" s="13" t="n">
        <v>46160</v>
      </c>
      <c r="AB3" s="13" t="n">
        <v>46161</v>
      </c>
      <c r="AC3" s="13" t="n">
        <v>46162</v>
      </c>
      <c r="AD3" s="13" t="n">
        <v>46164</v>
      </c>
      <c r="AE3" s="13" t="n">
        <v>46165</v>
      </c>
      <c r="AF3" s="13" t="n">
        <v>46166</v>
      </c>
    </row>
    <row r="4" customFormat="false" ht="33.75" hidden="false" customHeight="true" outlineLevel="0" collapsed="false">
      <c r="A4" s="3" t="s">
        <v>2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  <c r="K4" s="3" t="s">
        <v>35</v>
      </c>
      <c r="L4" s="3" t="s">
        <v>36</v>
      </c>
      <c r="M4" s="3" t="s">
        <v>37</v>
      </c>
      <c r="N4" s="3" t="s">
        <v>38</v>
      </c>
      <c r="O4" s="3" t="s">
        <v>39</v>
      </c>
      <c r="P4" s="3" t="s">
        <v>40</v>
      </c>
      <c r="Q4" s="3" t="s">
        <v>41</v>
      </c>
      <c r="R4" s="3" t="s">
        <v>42</v>
      </c>
      <c r="S4" s="3" t="s">
        <v>43</v>
      </c>
      <c r="T4" s="3" t="s">
        <v>44</v>
      </c>
      <c r="U4" s="3" t="s">
        <v>45</v>
      </c>
      <c r="V4" s="3" t="s">
        <v>46</v>
      </c>
      <c r="W4" s="3" t="s">
        <v>47</v>
      </c>
      <c r="X4" s="3" t="s">
        <v>48</v>
      </c>
      <c r="Y4" s="3" t="s">
        <v>49</v>
      </c>
      <c r="Z4" s="3" t="s">
        <v>50</v>
      </c>
      <c r="AA4" s="3" t="s">
        <v>51</v>
      </c>
      <c r="AB4" s="3" t="s">
        <v>52</v>
      </c>
      <c r="AC4" s="3" t="s">
        <v>53</v>
      </c>
      <c r="AD4" s="3" t="s">
        <v>54</v>
      </c>
      <c r="AE4" s="3" t="s">
        <v>55</v>
      </c>
      <c r="AF4" s="3" t="s">
        <v>56</v>
      </c>
      <c r="AG4" s="3" t="s">
        <v>57</v>
      </c>
    </row>
    <row r="5" customFormat="false" ht="15" hidden="false" customHeight="false" outlineLevel="0" collapsed="false">
      <c r="A5" s="14" t="s">
        <v>9</v>
      </c>
      <c r="B5" s="15" t="n">
        <f aca="false">SUMIF(Выработка!$C$5:$C$254,$A5,Выработка!$F$5:$F$254)</f>
        <v>11198</v>
      </c>
      <c r="C5" s="15" t="n">
        <f aca="false">IF(SUMIFS(Выработка!$F$5:$F$254,Выработка!$C$5:$C$254,$A5,Выработка!$A$5:$A$254,C$3)=0,"",SUMIFS(Выработка!$F$5:$F$254,Выработка!$C$5:$C$254,$A5,Выработка!$A$5:$A$254,C$3))</f>
        <v>380</v>
      </c>
      <c r="D5" s="15" t="str">
        <f aca="false">IF(SUMIFS(Выработка!$F$5:$F$254,Выработка!$C$5:$C$254,$A5,Выработка!$A$5:$A$254,D$3)=0,"",SUMIFS(Выработка!$F$5:$F$254,Выработка!$C$5:$C$254,$A5,Выработка!$A$5:$A$254,D$3))</f>
        <v/>
      </c>
      <c r="E5" s="15" t="n">
        <f aca="false">IF(SUMIFS(Выработка!$F$5:$F$254,Выработка!$C$5:$C$254,$A5,Выработка!$A$5:$A$254,E$3)=0,"",SUMIFS(Выработка!$F$5:$F$254,Выработка!$C$5:$C$254,$A5,Выработка!$A$5:$A$254,E$3))</f>
        <v>370</v>
      </c>
      <c r="F5" s="15" t="n">
        <f aca="false">IF(SUMIFS(Выработка!$F$5:$F$254,Выработка!$C$5:$C$254,$A5,Выработка!$A$5:$A$254,F$3)=0,"",SUMIFS(Выработка!$F$5:$F$254,Выработка!$C$5:$C$254,$A5,Выработка!$A$5:$A$254,F$3))</f>
        <v>573</v>
      </c>
      <c r="G5" s="15" t="n">
        <f aca="false">IF(SUMIFS(Выработка!$F$5:$F$254,Выработка!$C$5:$C$254,$A5,Выработка!$A$5:$A$254,G$3)=0,"",SUMIFS(Выработка!$F$5:$F$254,Выработка!$C$5:$C$254,$A5,Выработка!$A$5:$A$254,G$3))</f>
        <v>557</v>
      </c>
      <c r="H5" s="15" t="n">
        <f aca="false">IF(SUMIFS(Выработка!$F$5:$F$254,Выработка!$C$5:$C$254,$A5,Выработка!$A$5:$A$254,H$3)=0,"",SUMIFS(Выработка!$F$5:$F$254,Выработка!$C$5:$C$254,$A5,Выработка!$A$5:$A$254,H$3))</f>
        <v>510</v>
      </c>
      <c r="I5" s="15" t="n">
        <f aca="false">IF(SUMIFS(Выработка!$F$5:$F$254,Выработка!$C$5:$C$254,$A5,Выработка!$A$5:$A$254,I$3)=0,"",SUMIFS(Выработка!$F$5:$F$254,Выработка!$C$5:$C$254,$A5,Выработка!$A$5:$A$254,I$3))</f>
        <v>642</v>
      </c>
      <c r="J5" s="15" t="n">
        <f aca="false">IF(SUMIFS(Выработка!$F$5:$F$254,Выработка!$C$5:$C$254,$A5,Выработка!$A$5:$A$254,J$3)=0,"",SUMIFS(Выработка!$F$5:$F$254,Выработка!$C$5:$C$254,$A5,Выработка!$A$5:$A$254,J$3))</f>
        <v>95</v>
      </c>
      <c r="K5" s="15" t="n">
        <f aca="false">IF(SUMIFS(Выработка!$F$5:$F$254,Выработка!$C$5:$C$254,$A5,Выработка!$A$5:$A$254,K$3)=0,"",SUMIFS(Выработка!$F$5:$F$254,Выработка!$C$5:$C$254,$A5,Выработка!$A$5:$A$254,K$3))</f>
        <v>541</v>
      </c>
      <c r="L5" s="15" t="n">
        <f aca="false">IF(SUMIFS(Выработка!$F$5:$F$254,Выработка!$C$5:$C$254,$A5,Выработка!$A$5:$A$254,L$3)=0,"",SUMIFS(Выработка!$F$5:$F$254,Выработка!$C$5:$C$254,$A5,Выработка!$A$5:$A$254,L$3))</f>
        <v>312</v>
      </c>
      <c r="M5" s="15" t="n">
        <f aca="false">IF(SUMIFS(Выработка!$F$5:$F$254,Выработка!$C$5:$C$254,$A5,Выработка!$A$5:$A$254,M$3)=0,"",SUMIFS(Выработка!$F$5:$F$254,Выработка!$C$5:$C$254,$A5,Выработка!$A$5:$A$254,M$3))</f>
        <v>345</v>
      </c>
      <c r="N5" s="15" t="str">
        <f aca="false">IF(SUMIFS(Выработка!$F$5:$F$254,Выработка!$C$5:$C$254,$A5,Выработка!$A$5:$A$254,N$3)=0,"",SUMIFS(Выработка!$F$5:$F$254,Выработка!$C$5:$C$254,$A5,Выработка!$A$5:$A$254,N$3))</f>
        <v/>
      </c>
      <c r="O5" s="15" t="str">
        <f aca="false">IF(SUMIFS(Выработка!$F$5:$F$254,Выработка!$C$5:$C$254,$A5,Выработка!$A$5:$A$254,O$3)=0,"",SUMIFS(Выработка!$F$5:$F$254,Выработка!$C$5:$C$254,$A5,Выработка!$A$5:$A$254,O$3))</f>
        <v/>
      </c>
      <c r="P5" s="15" t="n">
        <f aca="false">IF(SUMIFS(Выработка!$F$5:$F$254,Выработка!$C$5:$C$254,$A5,Выработка!$A$5:$A$254,P$3)=0,"",SUMIFS(Выработка!$F$5:$F$254,Выработка!$C$5:$C$254,$A5,Выработка!$A$5:$A$254,P$3))</f>
        <v>359</v>
      </c>
      <c r="Q5" s="15" t="str">
        <f aca="false">IF(SUMIFS(Выработка!$F$5:$F$254,Выработка!$C$5:$C$254,$A5,Выработка!$A$5:$A$254,Q$3)=0,"",SUMIFS(Выработка!$F$5:$F$254,Выработка!$C$5:$C$254,$A5,Выработка!$A$5:$A$254,Q$3))</f>
        <v/>
      </c>
      <c r="R5" s="15" t="str">
        <f aca="false">IF(SUMIFS(Выработка!$F$5:$F$254,Выработка!$C$5:$C$254,$A5,Выработка!$A$5:$A$254,R$3)=0,"",SUMIFS(Выработка!$F$5:$F$254,Выработка!$C$5:$C$254,$A5,Выработка!$A$5:$A$254,R$3))</f>
        <v/>
      </c>
      <c r="S5" s="15" t="n">
        <f aca="false">IF(SUMIFS(Выработка!$F$5:$F$254,Выработка!$C$5:$C$254,$A5,Выработка!$A$5:$A$254,S$3)=0,"",SUMIFS(Выработка!$F$5:$F$254,Выработка!$C$5:$C$254,$A5,Выработка!$A$5:$A$254,S$3))</f>
        <v>47</v>
      </c>
      <c r="T5" s="15" t="n">
        <f aca="false">IF(SUMIFS(Выработка!$F$5:$F$254,Выработка!$C$5:$C$254,$A5,Выработка!$A$5:$A$254,T$3)=0,"",SUMIFS(Выработка!$F$5:$F$254,Выработка!$C$5:$C$254,$A5,Выработка!$A$5:$A$254,T$3))</f>
        <v>225</v>
      </c>
      <c r="U5" s="15" t="n">
        <f aca="false">IF(SUMIFS(Выработка!$F$5:$F$254,Выработка!$C$5:$C$254,$A5,Выработка!$A$5:$A$254,U$3)=0,"",SUMIFS(Выработка!$F$5:$F$254,Выработка!$C$5:$C$254,$A5,Выработка!$A$5:$A$254,U$3))</f>
        <v>567</v>
      </c>
      <c r="V5" s="15" t="str">
        <f aca="false">IF(SUMIFS(Выработка!$F$5:$F$254,Выработка!$C$5:$C$254,$A5,Выработка!$A$5:$A$254,V$3)=0,"",SUMIFS(Выработка!$F$5:$F$254,Выработка!$C$5:$C$254,$A5,Выработка!$A$5:$A$254,V$3))</f>
        <v/>
      </c>
      <c r="W5" s="15" t="n">
        <f aca="false">IF(SUMIFS(Выработка!$F$5:$F$254,Выработка!$C$5:$C$254,$A5,Выработка!$A$5:$A$254,W$3)=0,"",SUMIFS(Выработка!$F$5:$F$254,Выработка!$C$5:$C$254,$A5,Выработка!$A$5:$A$254,W$3))</f>
        <v>486</v>
      </c>
      <c r="X5" s="15" t="str">
        <f aca="false">IF(SUMIFS(Выработка!$F$5:$F$254,Выработка!$C$5:$C$254,$A5,Выработка!$A$5:$A$254,X$3)=0,"",SUMIFS(Выработка!$F$5:$F$254,Выработка!$C$5:$C$254,$A5,Выработка!$A$5:$A$254,X$3))</f>
        <v/>
      </c>
      <c r="Y5" s="15" t="n">
        <f aca="false">IF(SUMIFS(Выработка!$F$5:$F$254,Выработка!$C$5:$C$254,$A5,Выработка!$A$5:$A$254,Y$3)=0,"",SUMIFS(Выработка!$F$5:$F$254,Выработка!$C$5:$C$254,$A5,Выработка!$A$5:$A$254,Y$3))</f>
        <v>309</v>
      </c>
      <c r="Z5" s="15" t="n">
        <f aca="false">IF(SUMIFS(Выработка!$F$5:$F$254,Выработка!$C$5:$C$254,$A5,Выработка!$A$5:$A$254,Z$3)=0,"",SUMIFS(Выработка!$F$5:$F$254,Выработка!$C$5:$C$254,$A5,Выработка!$A$5:$A$254,Z$3))</f>
        <v>121</v>
      </c>
      <c r="AA5" s="15" t="str">
        <f aca="false">IF(SUMIFS(Выработка!$F$5:$F$254,Выработка!$C$5:$C$254,$A5,Выработка!$A$5:$A$254,AA$3)=0,"",SUMIFS(Выработка!$F$5:$F$254,Выработка!$C$5:$C$254,$A5,Выработка!$A$5:$A$254,AA$3))</f>
        <v/>
      </c>
      <c r="AB5" s="15" t="n">
        <f aca="false">IF(SUMIFS(Выработка!$F$5:$F$254,Выработка!$C$5:$C$254,$A5,Выработка!$A$5:$A$254,AB$3)=0,"",SUMIFS(Выработка!$F$5:$F$254,Выработка!$C$5:$C$254,$A5,Выработка!$A$5:$A$254,AB$3))</f>
        <v>72</v>
      </c>
      <c r="AC5" s="15" t="str">
        <f aca="false">IF(SUMIFS(Выработка!$F$5:$F$254,Выработка!$C$5:$C$254,$A5,Выработка!$A$5:$A$254,AC$3)=0,"",SUMIFS(Выработка!$F$5:$F$254,Выработка!$C$5:$C$254,$A5,Выработка!$A$5:$A$254,AC$3))</f>
        <v/>
      </c>
      <c r="AD5" s="15" t="n">
        <f aca="false">IF(SUMIFS(Выработка!$F$5:$F$254,Выработка!$C$5:$C$254,$A5,Выработка!$A$5:$A$254,AD$3)=0,"",SUMIFS(Выработка!$F$5:$F$254,Выработка!$C$5:$C$254,$A5,Выработка!$A$5:$A$254,AD$3))</f>
        <v>312</v>
      </c>
      <c r="AE5" s="15" t="n">
        <f aca="false">IF(SUMIFS(Выработка!$F$5:$F$254,Выработка!$C$5:$C$254,$A5,Выработка!$A$5:$A$254,AE$3)=0,"",SUMIFS(Выработка!$F$5:$F$254,Выработка!$C$5:$C$254,$A5,Выработка!$A$5:$A$254,AE$3))</f>
        <v>643</v>
      </c>
      <c r="AF5" s="15" t="n">
        <f aca="false">IF(SUMIFS(Выработка!$F$5:$F$254,Выработка!$C$5:$C$254,$A5,Выработка!$A$5:$A$254,AF$3)=0,"",SUMIFS(Выработка!$F$5:$F$254,Выработка!$C$5:$C$254,$A5,Выработка!$A$5:$A$254,AF$3))</f>
        <v>303</v>
      </c>
      <c r="AG5" s="15" t="n">
        <f aca="false">SUM(C5:AF5)</f>
        <v>7769</v>
      </c>
    </row>
    <row r="6" customFormat="false" ht="15" hidden="false" customHeight="false" outlineLevel="0" collapsed="false">
      <c r="A6" s="14" t="s">
        <v>10</v>
      </c>
      <c r="B6" s="15" t="n">
        <f aca="false">SUMIF(Выработка!$C$5:$C$254,$A6,Выработка!$F$5:$F$254)</f>
        <v>3720</v>
      </c>
      <c r="C6" s="15" t="str">
        <f aca="false">IF(SUMIFS(Выработка!$F$5:$F$254,Выработка!$C$5:$C$254,$A6,Выработка!$A$5:$A$254,C$3)=0,"",SUMIFS(Выработка!$F$5:$F$254,Выработка!$C$5:$C$254,$A6,Выработка!$A$5:$A$254,C$3))</f>
        <v/>
      </c>
      <c r="D6" s="15" t="str">
        <f aca="false">IF(SUMIFS(Выработка!$F$5:$F$254,Выработка!$C$5:$C$254,$A6,Выработка!$A$5:$A$254,D$3)=0,"",SUMIFS(Выработка!$F$5:$F$254,Выработка!$C$5:$C$254,$A6,Выработка!$A$5:$A$254,D$3))</f>
        <v/>
      </c>
      <c r="E6" s="15" t="n">
        <f aca="false">IF(SUMIFS(Выработка!$F$5:$F$254,Выработка!$C$5:$C$254,$A6,Выработка!$A$5:$A$254,E$3)=0,"",SUMIFS(Выработка!$F$5:$F$254,Выработка!$C$5:$C$254,$A6,Выработка!$A$5:$A$254,E$3))</f>
        <v>78</v>
      </c>
      <c r="F6" s="15" t="str">
        <f aca="false">IF(SUMIFS(Выработка!$F$5:$F$254,Выработка!$C$5:$C$254,$A6,Выработка!$A$5:$A$254,F$3)=0,"",SUMIFS(Выработка!$F$5:$F$254,Выработка!$C$5:$C$254,$A6,Выработка!$A$5:$A$254,F$3))</f>
        <v/>
      </c>
      <c r="G6" s="15" t="str">
        <f aca="false">IF(SUMIFS(Выработка!$F$5:$F$254,Выработка!$C$5:$C$254,$A6,Выработка!$A$5:$A$254,G$3)=0,"",SUMIFS(Выработка!$F$5:$F$254,Выработка!$C$5:$C$254,$A6,Выработка!$A$5:$A$254,G$3))</f>
        <v/>
      </c>
      <c r="H6" s="15" t="str">
        <f aca="false">IF(SUMIFS(Выработка!$F$5:$F$254,Выработка!$C$5:$C$254,$A6,Выработка!$A$5:$A$254,H$3)=0,"",SUMIFS(Выработка!$F$5:$F$254,Выработка!$C$5:$C$254,$A6,Выработка!$A$5:$A$254,H$3))</f>
        <v/>
      </c>
      <c r="I6" s="15" t="str">
        <f aca="false">IF(SUMIFS(Выработка!$F$5:$F$254,Выработка!$C$5:$C$254,$A6,Выработка!$A$5:$A$254,I$3)=0,"",SUMIFS(Выработка!$F$5:$F$254,Выработка!$C$5:$C$254,$A6,Выработка!$A$5:$A$254,I$3))</f>
        <v/>
      </c>
      <c r="J6" s="15" t="n">
        <f aca="false">IF(SUMIFS(Выработка!$F$5:$F$254,Выработка!$C$5:$C$254,$A6,Выработка!$A$5:$A$254,J$3)=0,"",SUMIFS(Выработка!$F$5:$F$254,Выработка!$C$5:$C$254,$A6,Выработка!$A$5:$A$254,J$3))</f>
        <v>64</v>
      </c>
      <c r="K6" s="15" t="n">
        <f aca="false">IF(SUMIFS(Выработка!$F$5:$F$254,Выработка!$C$5:$C$254,$A6,Выработка!$A$5:$A$254,K$3)=0,"",SUMIFS(Выработка!$F$5:$F$254,Выработка!$C$5:$C$254,$A6,Выработка!$A$5:$A$254,K$3))</f>
        <v>541</v>
      </c>
      <c r="L6" s="15" t="n">
        <f aca="false">IF(SUMIFS(Выработка!$F$5:$F$254,Выработка!$C$5:$C$254,$A6,Выработка!$A$5:$A$254,L$3)=0,"",SUMIFS(Выработка!$F$5:$F$254,Выработка!$C$5:$C$254,$A6,Выработка!$A$5:$A$254,L$3))</f>
        <v>312</v>
      </c>
      <c r="M6" s="15" t="n">
        <f aca="false">IF(SUMIFS(Выработка!$F$5:$F$254,Выработка!$C$5:$C$254,$A6,Выработка!$A$5:$A$254,M$3)=0,"",SUMIFS(Выработка!$F$5:$F$254,Выработка!$C$5:$C$254,$A6,Выработка!$A$5:$A$254,M$3))</f>
        <v>714</v>
      </c>
      <c r="N6" s="15" t="str">
        <f aca="false">IF(SUMIFS(Выработка!$F$5:$F$254,Выработка!$C$5:$C$254,$A6,Выработка!$A$5:$A$254,N$3)=0,"",SUMIFS(Выработка!$F$5:$F$254,Выработка!$C$5:$C$254,$A6,Выработка!$A$5:$A$254,N$3))</f>
        <v/>
      </c>
      <c r="O6" s="15" t="str">
        <f aca="false">IF(SUMIFS(Выработка!$F$5:$F$254,Выработка!$C$5:$C$254,$A6,Выработка!$A$5:$A$254,O$3)=0,"",SUMIFS(Выработка!$F$5:$F$254,Выработка!$C$5:$C$254,$A6,Выработка!$A$5:$A$254,O$3))</f>
        <v/>
      </c>
      <c r="P6" s="15" t="str">
        <f aca="false">IF(SUMIFS(Выработка!$F$5:$F$254,Выработка!$C$5:$C$254,$A6,Выработка!$A$5:$A$254,P$3)=0,"",SUMIFS(Выработка!$F$5:$F$254,Выработка!$C$5:$C$254,$A6,Выработка!$A$5:$A$254,P$3))</f>
        <v/>
      </c>
      <c r="Q6" s="15" t="str">
        <f aca="false">IF(SUMIFS(Выработка!$F$5:$F$254,Выработка!$C$5:$C$254,$A6,Выработка!$A$5:$A$254,Q$3)=0,"",SUMIFS(Выработка!$F$5:$F$254,Выработка!$C$5:$C$254,$A6,Выработка!$A$5:$A$254,Q$3))</f>
        <v/>
      </c>
      <c r="R6" s="15" t="str">
        <f aca="false">IF(SUMIFS(Выработка!$F$5:$F$254,Выработка!$C$5:$C$254,$A6,Выработка!$A$5:$A$254,R$3)=0,"",SUMIFS(Выработка!$F$5:$F$254,Выработка!$C$5:$C$254,$A6,Выработка!$A$5:$A$254,R$3))</f>
        <v/>
      </c>
      <c r="S6" s="15" t="n">
        <f aca="false">IF(SUMIFS(Выработка!$F$5:$F$254,Выработка!$C$5:$C$254,$A6,Выработка!$A$5:$A$254,S$3)=0,"",SUMIFS(Выработка!$F$5:$F$254,Выработка!$C$5:$C$254,$A6,Выработка!$A$5:$A$254,S$3))</f>
        <v>45</v>
      </c>
      <c r="T6" s="15" t="str">
        <f aca="false">IF(SUMIFS(Выработка!$F$5:$F$254,Выработка!$C$5:$C$254,$A6,Выработка!$A$5:$A$254,T$3)=0,"",SUMIFS(Выработка!$F$5:$F$254,Выработка!$C$5:$C$254,$A6,Выработка!$A$5:$A$254,T$3))</f>
        <v/>
      </c>
      <c r="U6" s="15" t="str">
        <f aca="false">IF(SUMIFS(Выработка!$F$5:$F$254,Выработка!$C$5:$C$254,$A6,Выработка!$A$5:$A$254,U$3)=0,"",SUMIFS(Выработка!$F$5:$F$254,Выработка!$C$5:$C$254,$A6,Выработка!$A$5:$A$254,U$3))</f>
        <v/>
      </c>
      <c r="V6" s="15" t="str">
        <f aca="false">IF(SUMIFS(Выработка!$F$5:$F$254,Выработка!$C$5:$C$254,$A6,Выработка!$A$5:$A$254,V$3)=0,"",SUMIFS(Выработка!$F$5:$F$254,Выработка!$C$5:$C$254,$A6,Выработка!$A$5:$A$254,V$3))</f>
        <v/>
      </c>
      <c r="W6" s="15" t="str">
        <f aca="false">IF(SUMIFS(Выработка!$F$5:$F$254,Выработка!$C$5:$C$254,$A6,Выработка!$A$5:$A$254,W$3)=0,"",SUMIFS(Выработка!$F$5:$F$254,Выработка!$C$5:$C$254,$A6,Выработка!$A$5:$A$254,W$3))</f>
        <v/>
      </c>
      <c r="X6" s="15" t="str">
        <f aca="false">IF(SUMIFS(Выработка!$F$5:$F$254,Выработка!$C$5:$C$254,$A6,Выработка!$A$5:$A$254,X$3)=0,"",SUMIFS(Выработка!$F$5:$F$254,Выработка!$C$5:$C$254,$A6,Выработка!$A$5:$A$254,X$3))</f>
        <v/>
      </c>
      <c r="Y6" s="15" t="n">
        <f aca="false">IF(SUMIFS(Выработка!$F$5:$F$254,Выработка!$C$5:$C$254,$A6,Выработка!$A$5:$A$254,Y$3)=0,"",SUMIFS(Выработка!$F$5:$F$254,Выработка!$C$5:$C$254,$A6,Выработка!$A$5:$A$254,Y$3))</f>
        <v>365</v>
      </c>
      <c r="Z6" s="15" t="n">
        <f aca="false">IF(SUMIFS(Выработка!$F$5:$F$254,Выработка!$C$5:$C$254,$A6,Выработка!$A$5:$A$254,Z$3)=0,"",SUMIFS(Выработка!$F$5:$F$254,Выработка!$C$5:$C$254,$A6,Выработка!$A$5:$A$254,Z$3))</f>
        <v>206</v>
      </c>
      <c r="AA6" s="15" t="str">
        <f aca="false">IF(SUMIFS(Выработка!$F$5:$F$254,Выработка!$C$5:$C$254,$A6,Выработка!$A$5:$A$254,AA$3)=0,"",SUMIFS(Выработка!$F$5:$F$254,Выработка!$C$5:$C$254,$A6,Выработка!$A$5:$A$254,AA$3))</f>
        <v/>
      </c>
      <c r="AB6" s="15" t="n">
        <f aca="false">IF(SUMIFS(Выработка!$F$5:$F$254,Выработка!$C$5:$C$254,$A6,Выработка!$A$5:$A$254,AB$3)=0,"",SUMIFS(Выработка!$F$5:$F$254,Выработка!$C$5:$C$254,$A6,Выработка!$A$5:$A$254,AB$3))</f>
        <v>140</v>
      </c>
      <c r="AC6" s="15" t="n">
        <f aca="false">IF(SUMIFS(Выработка!$F$5:$F$254,Выработка!$C$5:$C$254,$A6,Выработка!$A$5:$A$254,AC$3)=0,"",SUMIFS(Выработка!$F$5:$F$254,Выработка!$C$5:$C$254,$A6,Выработка!$A$5:$A$254,AC$3))</f>
        <v>287</v>
      </c>
      <c r="AD6" s="15" t="n">
        <f aca="false">IF(SUMIFS(Выработка!$F$5:$F$254,Выработка!$C$5:$C$254,$A6,Выработка!$A$5:$A$254,AD$3)=0,"",SUMIFS(Выработка!$F$5:$F$254,Выработка!$C$5:$C$254,$A6,Выработка!$A$5:$A$254,AD$3))</f>
        <v>298</v>
      </c>
      <c r="AE6" s="15" t="n">
        <f aca="false">IF(SUMIFS(Выработка!$F$5:$F$254,Выработка!$C$5:$C$254,$A6,Выработка!$A$5:$A$254,AE$3)=0,"",SUMIFS(Выработка!$F$5:$F$254,Выработка!$C$5:$C$254,$A6,Выработка!$A$5:$A$254,AE$3))</f>
        <v>30</v>
      </c>
      <c r="AF6" s="15" t="n">
        <f aca="false">IF(SUMIFS(Выработка!$F$5:$F$254,Выработка!$C$5:$C$254,$A6,Выработка!$A$5:$A$254,AF$3)=0,"",SUMIFS(Выработка!$F$5:$F$254,Выработка!$C$5:$C$254,$A6,Выработка!$A$5:$A$254,AF$3))</f>
        <v>216</v>
      </c>
      <c r="AG6" s="15" t="n">
        <f aca="false">SUM(C6:AF6)</f>
        <v>3296</v>
      </c>
    </row>
    <row r="7" customFormat="false" ht="15" hidden="false" customHeight="false" outlineLevel="0" collapsed="false">
      <c r="A7" s="14" t="s">
        <v>11</v>
      </c>
      <c r="B7" s="15" t="n">
        <f aca="false">SUMIF(Выработка!$C$5:$C$254,$A7,Выработка!$F$5:$F$254)</f>
        <v>4338</v>
      </c>
      <c r="C7" s="15" t="str">
        <f aca="false">IF(SUMIFS(Выработка!$F$5:$F$254,Выработка!$C$5:$C$254,$A7,Выработка!$A$5:$A$254,C$3)=0,"",SUMIFS(Выработка!$F$5:$F$254,Выработка!$C$5:$C$254,$A7,Выработка!$A$5:$A$254,C$3))</f>
        <v/>
      </c>
      <c r="D7" s="15" t="str">
        <f aca="false">IF(SUMIFS(Выработка!$F$5:$F$254,Выработка!$C$5:$C$254,$A7,Выработка!$A$5:$A$254,D$3)=0,"",SUMIFS(Выработка!$F$5:$F$254,Выработка!$C$5:$C$254,$A7,Выработка!$A$5:$A$254,D$3))</f>
        <v/>
      </c>
      <c r="E7" s="15" t="str">
        <f aca="false">IF(SUMIFS(Выработка!$F$5:$F$254,Выработка!$C$5:$C$254,$A7,Выработка!$A$5:$A$254,E$3)=0,"",SUMIFS(Выработка!$F$5:$F$254,Выработка!$C$5:$C$254,$A7,Выработка!$A$5:$A$254,E$3))</f>
        <v/>
      </c>
      <c r="F7" s="15" t="str">
        <f aca="false">IF(SUMIFS(Выработка!$F$5:$F$254,Выработка!$C$5:$C$254,$A7,Выработка!$A$5:$A$254,F$3)=0,"",SUMIFS(Выработка!$F$5:$F$254,Выработка!$C$5:$C$254,$A7,Выработка!$A$5:$A$254,F$3))</f>
        <v/>
      </c>
      <c r="G7" s="15" t="str">
        <f aca="false">IF(SUMIFS(Выработка!$F$5:$F$254,Выработка!$C$5:$C$254,$A7,Выработка!$A$5:$A$254,G$3)=0,"",SUMIFS(Выработка!$F$5:$F$254,Выработка!$C$5:$C$254,$A7,Выработка!$A$5:$A$254,G$3))</f>
        <v/>
      </c>
      <c r="H7" s="15" t="str">
        <f aca="false">IF(SUMIFS(Выработка!$F$5:$F$254,Выработка!$C$5:$C$254,$A7,Выработка!$A$5:$A$254,H$3)=0,"",SUMIFS(Выработка!$F$5:$F$254,Выработка!$C$5:$C$254,$A7,Выработка!$A$5:$A$254,H$3))</f>
        <v/>
      </c>
      <c r="I7" s="15" t="str">
        <f aca="false">IF(SUMIFS(Выработка!$F$5:$F$254,Выработка!$C$5:$C$254,$A7,Выработка!$A$5:$A$254,I$3)=0,"",SUMIFS(Выработка!$F$5:$F$254,Выработка!$C$5:$C$254,$A7,Выработка!$A$5:$A$254,I$3))</f>
        <v/>
      </c>
      <c r="J7" s="15" t="str">
        <f aca="false">IF(SUMIFS(Выработка!$F$5:$F$254,Выработка!$C$5:$C$254,$A7,Выработка!$A$5:$A$254,J$3)=0,"",SUMIFS(Выработка!$F$5:$F$254,Выработка!$C$5:$C$254,$A7,Выработка!$A$5:$A$254,J$3))</f>
        <v/>
      </c>
      <c r="K7" s="15" t="str">
        <f aca="false">IF(SUMIFS(Выработка!$F$5:$F$254,Выработка!$C$5:$C$254,$A7,Выработка!$A$5:$A$254,K$3)=0,"",SUMIFS(Выработка!$F$5:$F$254,Выработка!$C$5:$C$254,$A7,Выработка!$A$5:$A$254,K$3))</f>
        <v/>
      </c>
      <c r="L7" s="15" t="str">
        <f aca="false">IF(SUMIFS(Выработка!$F$5:$F$254,Выработка!$C$5:$C$254,$A7,Выработка!$A$5:$A$254,L$3)=0,"",SUMIFS(Выработка!$F$5:$F$254,Выработка!$C$5:$C$254,$A7,Выработка!$A$5:$A$254,L$3))</f>
        <v/>
      </c>
      <c r="M7" s="15" t="str">
        <f aca="false">IF(SUMIFS(Выработка!$F$5:$F$254,Выработка!$C$5:$C$254,$A7,Выработка!$A$5:$A$254,M$3)=0,"",SUMIFS(Выработка!$F$5:$F$254,Выработка!$C$5:$C$254,$A7,Выработка!$A$5:$A$254,M$3))</f>
        <v/>
      </c>
      <c r="N7" s="15" t="str">
        <f aca="false">IF(SUMIFS(Выработка!$F$5:$F$254,Выработка!$C$5:$C$254,$A7,Выработка!$A$5:$A$254,N$3)=0,"",SUMIFS(Выработка!$F$5:$F$254,Выработка!$C$5:$C$254,$A7,Выработка!$A$5:$A$254,N$3))</f>
        <v/>
      </c>
      <c r="O7" s="15" t="str">
        <f aca="false">IF(SUMIFS(Выработка!$F$5:$F$254,Выработка!$C$5:$C$254,$A7,Выработка!$A$5:$A$254,O$3)=0,"",SUMIFS(Выработка!$F$5:$F$254,Выработка!$C$5:$C$254,$A7,Выработка!$A$5:$A$254,O$3))</f>
        <v/>
      </c>
      <c r="P7" s="15" t="str">
        <f aca="false">IF(SUMIFS(Выработка!$F$5:$F$254,Выработка!$C$5:$C$254,$A7,Выработка!$A$5:$A$254,P$3)=0,"",SUMIFS(Выработка!$F$5:$F$254,Выработка!$C$5:$C$254,$A7,Выработка!$A$5:$A$254,P$3))</f>
        <v/>
      </c>
      <c r="Q7" s="15" t="str">
        <f aca="false">IF(SUMIFS(Выработка!$F$5:$F$254,Выработка!$C$5:$C$254,$A7,Выработка!$A$5:$A$254,Q$3)=0,"",SUMIFS(Выработка!$F$5:$F$254,Выработка!$C$5:$C$254,$A7,Выработка!$A$5:$A$254,Q$3))</f>
        <v/>
      </c>
      <c r="R7" s="15" t="str">
        <f aca="false">IF(SUMIFS(Выработка!$F$5:$F$254,Выработка!$C$5:$C$254,$A7,Выработка!$A$5:$A$254,R$3)=0,"",SUMIFS(Выработка!$F$5:$F$254,Выработка!$C$5:$C$254,$A7,Выработка!$A$5:$A$254,R$3))</f>
        <v/>
      </c>
      <c r="S7" s="15" t="str">
        <f aca="false">IF(SUMIFS(Выработка!$F$5:$F$254,Выработка!$C$5:$C$254,$A7,Выработка!$A$5:$A$254,S$3)=0,"",SUMIFS(Выработка!$F$5:$F$254,Выработка!$C$5:$C$254,$A7,Выработка!$A$5:$A$254,S$3))</f>
        <v/>
      </c>
      <c r="T7" s="15" t="str">
        <f aca="false">IF(SUMIFS(Выработка!$F$5:$F$254,Выработка!$C$5:$C$254,$A7,Выработка!$A$5:$A$254,T$3)=0,"",SUMIFS(Выработка!$F$5:$F$254,Выработка!$C$5:$C$254,$A7,Выработка!$A$5:$A$254,T$3))</f>
        <v/>
      </c>
      <c r="U7" s="15" t="str">
        <f aca="false">IF(SUMIFS(Выработка!$F$5:$F$254,Выработка!$C$5:$C$254,$A7,Выработка!$A$5:$A$254,U$3)=0,"",SUMIFS(Выработка!$F$5:$F$254,Выработка!$C$5:$C$254,$A7,Выработка!$A$5:$A$254,U$3))</f>
        <v/>
      </c>
      <c r="V7" s="15" t="str">
        <f aca="false">IF(SUMIFS(Выработка!$F$5:$F$254,Выработка!$C$5:$C$254,$A7,Выработка!$A$5:$A$254,V$3)=0,"",SUMIFS(Выработка!$F$5:$F$254,Выработка!$C$5:$C$254,$A7,Выработка!$A$5:$A$254,V$3))</f>
        <v/>
      </c>
      <c r="W7" s="15" t="n">
        <f aca="false">IF(SUMIFS(Выработка!$F$5:$F$254,Выработка!$C$5:$C$254,$A7,Выработка!$A$5:$A$254,W$3)=0,"",SUMIFS(Выработка!$F$5:$F$254,Выработка!$C$5:$C$254,$A7,Выработка!$A$5:$A$254,W$3))</f>
        <v>111</v>
      </c>
      <c r="X7" s="15" t="n">
        <f aca="false">IF(SUMIFS(Выработка!$F$5:$F$254,Выработка!$C$5:$C$254,$A7,Выработка!$A$5:$A$254,X$3)=0,"",SUMIFS(Выработка!$F$5:$F$254,Выработка!$C$5:$C$254,$A7,Выработка!$A$5:$A$254,X$3))</f>
        <v>178</v>
      </c>
      <c r="Y7" s="15" t="str">
        <f aca="false">IF(SUMIFS(Выработка!$F$5:$F$254,Выработка!$C$5:$C$254,$A7,Выработка!$A$5:$A$254,Y$3)=0,"",SUMIFS(Выработка!$F$5:$F$254,Выработка!$C$5:$C$254,$A7,Выработка!$A$5:$A$254,Y$3))</f>
        <v/>
      </c>
      <c r="Z7" s="15" t="str">
        <f aca="false">IF(SUMIFS(Выработка!$F$5:$F$254,Выработка!$C$5:$C$254,$A7,Выработка!$A$5:$A$254,Z$3)=0,"",SUMIFS(Выработка!$F$5:$F$254,Выработка!$C$5:$C$254,$A7,Выработка!$A$5:$A$254,Z$3))</f>
        <v/>
      </c>
      <c r="AA7" s="15" t="str">
        <f aca="false">IF(SUMIFS(Выработка!$F$5:$F$254,Выработка!$C$5:$C$254,$A7,Выработка!$A$5:$A$254,AA$3)=0,"",SUMIFS(Выработка!$F$5:$F$254,Выработка!$C$5:$C$254,$A7,Выработка!$A$5:$A$254,AA$3))</f>
        <v/>
      </c>
      <c r="AB7" s="15" t="str">
        <f aca="false">IF(SUMIFS(Выработка!$F$5:$F$254,Выработка!$C$5:$C$254,$A7,Выработка!$A$5:$A$254,AB$3)=0,"",SUMIFS(Выработка!$F$5:$F$254,Выработка!$C$5:$C$254,$A7,Выработка!$A$5:$A$254,AB$3))</f>
        <v/>
      </c>
      <c r="AC7" s="15" t="str">
        <f aca="false">IF(SUMIFS(Выработка!$F$5:$F$254,Выработка!$C$5:$C$254,$A7,Выработка!$A$5:$A$254,AC$3)=0,"",SUMIFS(Выработка!$F$5:$F$254,Выработка!$C$5:$C$254,$A7,Выработка!$A$5:$A$254,AC$3))</f>
        <v/>
      </c>
      <c r="AD7" s="15" t="str">
        <f aca="false">IF(SUMIFS(Выработка!$F$5:$F$254,Выработка!$C$5:$C$254,$A7,Выработка!$A$5:$A$254,AD$3)=0,"",SUMIFS(Выработка!$F$5:$F$254,Выработка!$C$5:$C$254,$A7,Выработка!$A$5:$A$254,AD$3))</f>
        <v/>
      </c>
      <c r="AE7" s="15" t="str">
        <f aca="false">IF(SUMIFS(Выработка!$F$5:$F$254,Выработка!$C$5:$C$254,$A7,Выработка!$A$5:$A$254,AE$3)=0,"",SUMIFS(Выработка!$F$5:$F$254,Выработка!$C$5:$C$254,$A7,Выработка!$A$5:$A$254,AE$3))</f>
        <v/>
      </c>
      <c r="AF7" s="15" t="str">
        <f aca="false">IF(SUMIFS(Выработка!$F$5:$F$254,Выработка!$C$5:$C$254,$A7,Выработка!$A$5:$A$254,AF$3)=0,"",SUMIFS(Выработка!$F$5:$F$254,Выработка!$C$5:$C$254,$A7,Выработка!$A$5:$A$254,AF$3))</f>
        <v/>
      </c>
      <c r="AG7" s="15" t="n">
        <f aca="false">SUM(C7:AF7)</f>
        <v>289</v>
      </c>
    </row>
    <row r="8" customFormat="false" ht="15" hidden="false" customHeight="false" outlineLevel="0" collapsed="false">
      <c r="A8" s="14" t="s">
        <v>12</v>
      </c>
      <c r="B8" s="15" t="n">
        <f aca="false">SUMIF(Выработка!$C$5:$C$254,$A8,Выработка!$F$5:$F$254)</f>
        <v>4049</v>
      </c>
      <c r="C8" s="15" t="str">
        <f aca="false">IF(SUMIFS(Выработка!$F$5:$F$254,Выработка!$C$5:$C$254,$A8,Выработка!$A$5:$A$254,C$3)=0,"",SUMIFS(Выработка!$F$5:$F$254,Выработка!$C$5:$C$254,$A8,Выработка!$A$5:$A$254,C$3))</f>
        <v/>
      </c>
      <c r="D8" s="15" t="str">
        <f aca="false">IF(SUMIFS(Выработка!$F$5:$F$254,Выработка!$C$5:$C$254,$A8,Выработка!$A$5:$A$254,D$3)=0,"",SUMIFS(Выработка!$F$5:$F$254,Выработка!$C$5:$C$254,$A8,Выработка!$A$5:$A$254,D$3))</f>
        <v/>
      </c>
      <c r="E8" s="15" t="str">
        <f aca="false">IF(SUMIFS(Выработка!$F$5:$F$254,Выработка!$C$5:$C$254,$A8,Выработка!$A$5:$A$254,E$3)=0,"",SUMIFS(Выработка!$F$5:$F$254,Выработка!$C$5:$C$254,$A8,Выработка!$A$5:$A$254,E$3))</f>
        <v/>
      </c>
      <c r="F8" s="15" t="str">
        <f aca="false">IF(SUMIFS(Выработка!$F$5:$F$254,Выработка!$C$5:$C$254,$A8,Выработка!$A$5:$A$254,F$3)=0,"",SUMIFS(Выработка!$F$5:$F$254,Выработка!$C$5:$C$254,$A8,Выработка!$A$5:$A$254,F$3))</f>
        <v/>
      </c>
      <c r="G8" s="15" t="str">
        <f aca="false">IF(SUMIFS(Выработка!$F$5:$F$254,Выработка!$C$5:$C$254,$A8,Выработка!$A$5:$A$254,G$3)=0,"",SUMIFS(Выработка!$F$5:$F$254,Выработка!$C$5:$C$254,$A8,Выработка!$A$5:$A$254,G$3))</f>
        <v/>
      </c>
      <c r="H8" s="15" t="str">
        <f aca="false">IF(SUMIFS(Выработка!$F$5:$F$254,Выработка!$C$5:$C$254,$A8,Выработка!$A$5:$A$254,H$3)=0,"",SUMIFS(Выработка!$F$5:$F$254,Выработка!$C$5:$C$254,$A8,Выработка!$A$5:$A$254,H$3))</f>
        <v/>
      </c>
      <c r="I8" s="15" t="str">
        <f aca="false">IF(SUMIFS(Выработка!$F$5:$F$254,Выработка!$C$5:$C$254,$A8,Выработка!$A$5:$A$254,I$3)=0,"",SUMIFS(Выработка!$F$5:$F$254,Выработка!$C$5:$C$254,$A8,Выработка!$A$5:$A$254,I$3))</f>
        <v/>
      </c>
      <c r="J8" s="15" t="str">
        <f aca="false">IF(SUMIFS(Выработка!$F$5:$F$254,Выработка!$C$5:$C$254,$A8,Выработка!$A$5:$A$254,J$3)=0,"",SUMIFS(Выработка!$F$5:$F$254,Выработка!$C$5:$C$254,$A8,Выработка!$A$5:$A$254,J$3))</f>
        <v/>
      </c>
      <c r="K8" s="15" t="str">
        <f aca="false">IF(SUMIFS(Выработка!$F$5:$F$254,Выработка!$C$5:$C$254,$A8,Выработка!$A$5:$A$254,K$3)=0,"",SUMIFS(Выработка!$F$5:$F$254,Выработка!$C$5:$C$254,$A8,Выработка!$A$5:$A$254,K$3))</f>
        <v/>
      </c>
      <c r="L8" s="15" t="str">
        <f aca="false">IF(SUMIFS(Выработка!$F$5:$F$254,Выработка!$C$5:$C$254,$A8,Выработка!$A$5:$A$254,L$3)=0,"",SUMIFS(Выработка!$F$5:$F$254,Выработка!$C$5:$C$254,$A8,Выработка!$A$5:$A$254,L$3))</f>
        <v/>
      </c>
      <c r="M8" s="15" t="str">
        <f aca="false">IF(SUMIFS(Выработка!$F$5:$F$254,Выработка!$C$5:$C$254,$A8,Выработка!$A$5:$A$254,M$3)=0,"",SUMIFS(Выработка!$F$5:$F$254,Выработка!$C$5:$C$254,$A8,Выработка!$A$5:$A$254,M$3))</f>
        <v/>
      </c>
      <c r="N8" s="15" t="str">
        <f aca="false">IF(SUMIFS(Выработка!$F$5:$F$254,Выработка!$C$5:$C$254,$A8,Выработка!$A$5:$A$254,N$3)=0,"",SUMIFS(Выработка!$F$5:$F$254,Выработка!$C$5:$C$254,$A8,Выработка!$A$5:$A$254,N$3))</f>
        <v/>
      </c>
      <c r="O8" s="15" t="str">
        <f aca="false">IF(SUMIFS(Выработка!$F$5:$F$254,Выработка!$C$5:$C$254,$A8,Выработка!$A$5:$A$254,O$3)=0,"",SUMIFS(Выработка!$F$5:$F$254,Выработка!$C$5:$C$254,$A8,Выработка!$A$5:$A$254,O$3))</f>
        <v/>
      </c>
      <c r="P8" s="15" t="str">
        <f aca="false">IF(SUMIFS(Выработка!$F$5:$F$254,Выработка!$C$5:$C$254,$A8,Выработка!$A$5:$A$254,P$3)=0,"",SUMIFS(Выработка!$F$5:$F$254,Выработка!$C$5:$C$254,$A8,Выработка!$A$5:$A$254,P$3))</f>
        <v/>
      </c>
      <c r="Q8" s="15" t="str">
        <f aca="false">IF(SUMIFS(Выработка!$F$5:$F$254,Выработка!$C$5:$C$254,$A8,Выработка!$A$5:$A$254,Q$3)=0,"",SUMIFS(Выработка!$F$5:$F$254,Выработка!$C$5:$C$254,$A8,Выработка!$A$5:$A$254,Q$3))</f>
        <v/>
      </c>
      <c r="R8" s="15" t="str">
        <f aca="false">IF(SUMIFS(Выработка!$F$5:$F$254,Выработка!$C$5:$C$254,$A8,Выработка!$A$5:$A$254,R$3)=0,"",SUMIFS(Выработка!$F$5:$F$254,Выработка!$C$5:$C$254,$A8,Выработка!$A$5:$A$254,R$3))</f>
        <v/>
      </c>
      <c r="S8" s="15" t="str">
        <f aca="false">IF(SUMIFS(Выработка!$F$5:$F$254,Выработка!$C$5:$C$254,$A8,Выработка!$A$5:$A$254,S$3)=0,"",SUMIFS(Выработка!$F$5:$F$254,Выработка!$C$5:$C$254,$A8,Выработка!$A$5:$A$254,S$3))</f>
        <v/>
      </c>
      <c r="T8" s="15" t="str">
        <f aca="false">IF(SUMIFS(Выработка!$F$5:$F$254,Выработка!$C$5:$C$254,$A8,Выработка!$A$5:$A$254,T$3)=0,"",SUMIFS(Выработка!$F$5:$F$254,Выработка!$C$5:$C$254,$A8,Выработка!$A$5:$A$254,T$3))</f>
        <v/>
      </c>
      <c r="U8" s="15" t="str">
        <f aca="false">IF(SUMIFS(Выработка!$F$5:$F$254,Выработка!$C$5:$C$254,$A8,Выработка!$A$5:$A$254,U$3)=0,"",SUMIFS(Выработка!$F$5:$F$254,Выработка!$C$5:$C$254,$A8,Выработка!$A$5:$A$254,U$3))</f>
        <v/>
      </c>
      <c r="V8" s="15" t="str">
        <f aca="false">IF(SUMIFS(Выработка!$F$5:$F$254,Выработка!$C$5:$C$254,$A8,Выработка!$A$5:$A$254,V$3)=0,"",SUMIFS(Выработка!$F$5:$F$254,Выработка!$C$5:$C$254,$A8,Выработка!$A$5:$A$254,V$3))</f>
        <v/>
      </c>
      <c r="W8" s="15" t="str">
        <f aca="false">IF(SUMIFS(Выработка!$F$5:$F$254,Выработка!$C$5:$C$254,$A8,Выработка!$A$5:$A$254,W$3)=0,"",SUMIFS(Выработка!$F$5:$F$254,Выработка!$C$5:$C$254,$A8,Выработка!$A$5:$A$254,W$3))</f>
        <v/>
      </c>
      <c r="X8" s="15" t="str">
        <f aca="false">IF(SUMIFS(Выработка!$F$5:$F$254,Выработка!$C$5:$C$254,$A8,Выработка!$A$5:$A$254,X$3)=0,"",SUMIFS(Выработка!$F$5:$F$254,Выработка!$C$5:$C$254,$A8,Выработка!$A$5:$A$254,X$3))</f>
        <v/>
      </c>
      <c r="Y8" s="15" t="str">
        <f aca="false">IF(SUMIFS(Выработка!$F$5:$F$254,Выработка!$C$5:$C$254,$A8,Выработка!$A$5:$A$254,Y$3)=0,"",SUMIFS(Выработка!$F$5:$F$254,Выработка!$C$5:$C$254,$A8,Выработка!$A$5:$A$254,Y$3))</f>
        <v/>
      </c>
      <c r="Z8" s="15" t="str">
        <f aca="false">IF(SUMIFS(Выработка!$F$5:$F$254,Выработка!$C$5:$C$254,$A8,Выработка!$A$5:$A$254,Z$3)=0,"",SUMIFS(Выработка!$F$5:$F$254,Выработка!$C$5:$C$254,$A8,Выработка!$A$5:$A$254,Z$3))</f>
        <v/>
      </c>
      <c r="AA8" s="15" t="str">
        <f aca="false">IF(SUMIFS(Выработка!$F$5:$F$254,Выработка!$C$5:$C$254,$A8,Выработка!$A$5:$A$254,AA$3)=0,"",SUMIFS(Выработка!$F$5:$F$254,Выработка!$C$5:$C$254,$A8,Выработка!$A$5:$A$254,AA$3))</f>
        <v/>
      </c>
      <c r="AB8" s="15" t="str">
        <f aca="false">IF(SUMIFS(Выработка!$F$5:$F$254,Выработка!$C$5:$C$254,$A8,Выработка!$A$5:$A$254,AB$3)=0,"",SUMIFS(Выработка!$F$5:$F$254,Выработка!$C$5:$C$254,$A8,Выработка!$A$5:$A$254,AB$3))</f>
        <v/>
      </c>
      <c r="AC8" s="15" t="str">
        <f aca="false">IF(SUMIFS(Выработка!$F$5:$F$254,Выработка!$C$5:$C$254,$A8,Выработка!$A$5:$A$254,AC$3)=0,"",SUMIFS(Выработка!$F$5:$F$254,Выработка!$C$5:$C$254,$A8,Выработка!$A$5:$A$254,AC$3))</f>
        <v/>
      </c>
      <c r="AD8" s="15" t="str">
        <f aca="false">IF(SUMIFS(Выработка!$F$5:$F$254,Выработка!$C$5:$C$254,$A8,Выработка!$A$5:$A$254,AD$3)=0,"",SUMIFS(Выработка!$F$5:$F$254,Выработка!$C$5:$C$254,$A8,Выработка!$A$5:$A$254,AD$3))</f>
        <v/>
      </c>
      <c r="AE8" s="15" t="str">
        <f aca="false">IF(SUMIFS(Выработка!$F$5:$F$254,Выработка!$C$5:$C$254,$A8,Выработка!$A$5:$A$254,AE$3)=0,"",SUMIFS(Выработка!$F$5:$F$254,Выработка!$C$5:$C$254,$A8,Выработка!$A$5:$A$254,AE$3))</f>
        <v/>
      </c>
      <c r="AF8" s="15" t="str">
        <f aca="false">IF(SUMIFS(Выработка!$F$5:$F$254,Выработка!$C$5:$C$254,$A8,Выработка!$A$5:$A$254,AF$3)=0,"",SUMIFS(Выработка!$F$5:$F$254,Выработка!$C$5:$C$254,$A8,Выработка!$A$5:$A$254,AF$3))</f>
        <v/>
      </c>
      <c r="AG8" s="15" t="n">
        <f aca="false">SUM(C8:AF8)</f>
        <v>0</v>
      </c>
    </row>
    <row r="9" customFormat="false" ht="15" hidden="false" customHeight="false" outlineLevel="0" collapsed="false">
      <c r="A9" s="14" t="s">
        <v>13</v>
      </c>
      <c r="B9" s="15" t="n">
        <f aca="false">SUMIF(Выработка!$C$5:$C$254,$A9,Выработка!$F$5:$F$254)</f>
        <v>2075</v>
      </c>
      <c r="C9" s="15" t="n">
        <f aca="false">IF(SUMIFS(Выработка!$F$5:$F$254,Выработка!$C$5:$C$254,$A9,Выработка!$A$5:$A$254,C$3)=0,"",SUMIFS(Выработка!$F$5:$F$254,Выработка!$C$5:$C$254,$A9,Выработка!$A$5:$A$254,C$3))</f>
        <v>277</v>
      </c>
      <c r="D9" s="15" t="str">
        <f aca="false">IF(SUMIFS(Выработка!$F$5:$F$254,Выработка!$C$5:$C$254,$A9,Выработка!$A$5:$A$254,D$3)=0,"",SUMIFS(Выработка!$F$5:$F$254,Выработка!$C$5:$C$254,$A9,Выработка!$A$5:$A$254,D$3))</f>
        <v/>
      </c>
      <c r="E9" s="15" t="n">
        <f aca="false">IF(SUMIFS(Выработка!$F$5:$F$254,Выработка!$C$5:$C$254,$A9,Выработка!$A$5:$A$254,E$3)=0,"",SUMIFS(Выработка!$F$5:$F$254,Выработка!$C$5:$C$254,$A9,Выработка!$A$5:$A$254,E$3))</f>
        <v>62</v>
      </c>
      <c r="F9" s="15" t="n">
        <f aca="false">IF(SUMIFS(Выработка!$F$5:$F$254,Выработка!$C$5:$C$254,$A9,Выработка!$A$5:$A$254,F$3)=0,"",SUMIFS(Выработка!$F$5:$F$254,Выработка!$C$5:$C$254,$A9,Выработка!$A$5:$A$254,F$3))</f>
        <v>31</v>
      </c>
      <c r="G9" s="15" t="n">
        <f aca="false">IF(SUMIFS(Выработка!$F$5:$F$254,Выработка!$C$5:$C$254,$A9,Выработка!$A$5:$A$254,G$3)=0,"",SUMIFS(Выработка!$F$5:$F$254,Выработка!$C$5:$C$254,$A9,Выработка!$A$5:$A$254,G$3))</f>
        <v>54</v>
      </c>
      <c r="H9" s="15" t="str">
        <f aca="false">IF(SUMIFS(Выработка!$F$5:$F$254,Выработка!$C$5:$C$254,$A9,Выработка!$A$5:$A$254,H$3)=0,"",SUMIFS(Выработка!$F$5:$F$254,Выработка!$C$5:$C$254,$A9,Выработка!$A$5:$A$254,H$3))</f>
        <v/>
      </c>
      <c r="I9" s="15" t="n">
        <f aca="false">IF(SUMIFS(Выработка!$F$5:$F$254,Выработка!$C$5:$C$254,$A9,Выработка!$A$5:$A$254,I$3)=0,"",SUMIFS(Выработка!$F$5:$F$254,Выработка!$C$5:$C$254,$A9,Выработка!$A$5:$A$254,I$3))</f>
        <v>58</v>
      </c>
      <c r="J9" s="15" t="n">
        <f aca="false">IF(SUMIFS(Выработка!$F$5:$F$254,Выработка!$C$5:$C$254,$A9,Выработка!$A$5:$A$254,J$3)=0,"",SUMIFS(Выработка!$F$5:$F$254,Выработка!$C$5:$C$254,$A9,Выработка!$A$5:$A$254,J$3))</f>
        <v>45</v>
      </c>
      <c r="K9" s="15" t="str">
        <f aca="false">IF(SUMIFS(Выработка!$F$5:$F$254,Выработка!$C$5:$C$254,$A9,Выработка!$A$5:$A$254,K$3)=0,"",SUMIFS(Выработка!$F$5:$F$254,Выработка!$C$5:$C$254,$A9,Выработка!$A$5:$A$254,K$3))</f>
        <v/>
      </c>
      <c r="L9" s="15" t="str">
        <f aca="false">IF(SUMIFS(Выработка!$F$5:$F$254,Выработка!$C$5:$C$254,$A9,Выработка!$A$5:$A$254,L$3)=0,"",SUMIFS(Выработка!$F$5:$F$254,Выработка!$C$5:$C$254,$A9,Выработка!$A$5:$A$254,L$3))</f>
        <v/>
      </c>
      <c r="M9" s="15" t="str">
        <f aca="false">IF(SUMIFS(Выработка!$F$5:$F$254,Выработка!$C$5:$C$254,$A9,Выработка!$A$5:$A$254,M$3)=0,"",SUMIFS(Выработка!$F$5:$F$254,Выработка!$C$5:$C$254,$A9,Выработка!$A$5:$A$254,M$3))</f>
        <v/>
      </c>
      <c r="N9" s="15" t="str">
        <f aca="false">IF(SUMIFS(Выработка!$F$5:$F$254,Выработка!$C$5:$C$254,$A9,Выработка!$A$5:$A$254,N$3)=0,"",SUMIFS(Выработка!$F$5:$F$254,Выработка!$C$5:$C$254,$A9,Выработка!$A$5:$A$254,N$3))</f>
        <v/>
      </c>
      <c r="O9" s="15" t="str">
        <f aca="false">IF(SUMIFS(Выработка!$F$5:$F$254,Выработка!$C$5:$C$254,$A9,Выработка!$A$5:$A$254,O$3)=0,"",SUMIFS(Выработка!$F$5:$F$254,Выработка!$C$5:$C$254,$A9,Выработка!$A$5:$A$254,O$3))</f>
        <v/>
      </c>
      <c r="P9" s="15" t="str">
        <f aca="false">IF(SUMIFS(Выработка!$F$5:$F$254,Выработка!$C$5:$C$254,$A9,Выработка!$A$5:$A$254,P$3)=0,"",SUMIFS(Выработка!$F$5:$F$254,Выработка!$C$5:$C$254,$A9,Выработка!$A$5:$A$254,P$3))</f>
        <v/>
      </c>
      <c r="Q9" s="15" t="str">
        <f aca="false">IF(SUMIFS(Выработка!$F$5:$F$254,Выработка!$C$5:$C$254,$A9,Выработка!$A$5:$A$254,Q$3)=0,"",SUMIFS(Выработка!$F$5:$F$254,Выработка!$C$5:$C$254,$A9,Выработка!$A$5:$A$254,Q$3))</f>
        <v/>
      </c>
      <c r="R9" s="15" t="str">
        <f aca="false">IF(SUMIFS(Выработка!$F$5:$F$254,Выработка!$C$5:$C$254,$A9,Выработка!$A$5:$A$254,R$3)=0,"",SUMIFS(Выработка!$F$5:$F$254,Выработка!$C$5:$C$254,$A9,Выработка!$A$5:$A$254,R$3))</f>
        <v/>
      </c>
      <c r="S9" s="15" t="n">
        <f aca="false">IF(SUMIFS(Выработка!$F$5:$F$254,Выработка!$C$5:$C$254,$A9,Выработка!$A$5:$A$254,S$3)=0,"",SUMIFS(Выработка!$F$5:$F$254,Выработка!$C$5:$C$254,$A9,Выработка!$A$5:$A$254,S$3))</f>
        <v>59</v>
      </c>
      <c r="T9" s="15" t="str">
        <f aca="false">IF(SUMIFS(Выработка!$F$5:$F$254,Выработка!$C$5:$C$254,$A9,Выработка!$A$5:$A$254,T$3)=0,"",SUMIFS(Выработка!$F$5:$F$254,Выработка!$C$5:$C$254,$A9,Выработка!$A$5:$A$254,T$3))</f>
        <v/>
      </c>
      <c r="U9" s="15" t="str">
        <f aca="false">IF(SUMIFS(Выработка!$F$5:$F$254,Выработка!$C$5:$C$254,$A9,Выработка!$A$5:$A$254,U$3)=0,"",SUMIFS(Выработка!$F$5:$F$254,Выработка!$C$5:$C$254,$A9,Выработка!$A$5:$A$254,U$3))</f>
        <v/>
      </c>
      <c r="V9" s="15" t="str">
        <f aca="false">IF(SUMIFS(Выработка!$F$5:$F$254,Выработка!$C$5:$C$254,$A9,Выработка!$A$5:$A$254,V$3)=0,"",SUMIFS(Выработка!$F$5:$F$254,Выработка!$C$5:$C$254,$A9,Выработка!$A$5:$A$254,V$3))</f>
        <v/>
      </c>
      <c r="W9" s="15" t="str">
        <f aca="false">IF(SUMIFS(Выработка!$F$5:$F$254,Выработка!$C$5:$C$254,$A9,Выработка!$A$5:$A$254,W$3)=0,"",SUMIFS(Выработка!$F$5:$F$254,Выработка!$C$5:$C$254,$A9,Выработка!$A$5:$A$254,W$3))</f>
        <v/>
      </c>
      <c r="X9" s="15" t="str">
        <f aca="false">IF(SUMIFS(Выработка!$F$5:$F$254,Выработка!$C$5:$C$254,$A9,Выработка!$A$5:$A$254,X$3)=0,"",SUMIFS(Выработка!$F$5:$F$254,Выработка!$C$5:$C$254,$A9,Выработка!$A$5:$A$254,X$3))</f>
        <v/>
      </c>
      <c r="Y9" s="15" t="str">
        <f aca="false">IF(SUMIFS(Выработка!$F$5:$F$254,Выработка!$C$5:$C$254,$A9,Выработка!$A$5:$A$254,Y$3)=0,"",SUMIFS(Выработка!$F$5:$F$254,Выработка!$C$5:$C$254,$A9,Выработка!$A$5:$A$254,Y$3))</f>
        <v/>
      </c>
      <c r="Z9" s="15" t="str">
        <f aca="false">IF(SUMIFS(Выработка!$F$5:$F$254,Выработка!$C$5:$C$254,$A9,Выработка!$A$5:$A$254,Z$3)=0,"",SUMIFS(Выработка!$F$5:$F$254,Выработка!$C$5:$C$254,$A9,Выработка!$A$5:$A$254,Z$3))</f>
        <v/>
      </c>
      <c r="AA9" s="15" t="str">
        <f aca="false">IF(SUMIFS(Выработка!$F$5:$F$254,Выработка!$C$5:$C$254,$A9,Выработка!$A$5:$A$254,AA$3)=0,"",SUMIFS(Выработка!$F$5:$F$254,Выработка!$C$5:$C$254,$A9,Выработка!$A$5:$A$254,AA$3))</f>
        <v/>
      </c>
      <c r="AB9" s="15" t="str">
        <f aca="false">IF(SUMIFS(Выработка!$F$5:$F$254,Выработка!$C$5:$C$254,$A9,Выработка!$A$5:$A$254,AB$3)=0,"",SUMIFS(Выработка!$F$5:$F$254,Выработка!$C$5:$C$254,$A9,Выработка!$A$5:$A$254,AB$3))</f>
        <v/>
      </c>
      <c r="AC9" s="15" t="str">
        <f aca="false">IF(SUMIFS(Выработка!$F$5:$F$254,Выработка!$C$5:$C$254,$A9,Выработка!$A$5:$A$254,AC$3)=0,"",SUMIFS(Выработка!$F$5:$F$254,Выработка!$C$5:$C$254,$A9,Выработка!$A$5:$A$254,AC$3))</f>
        <v/>
      </c>
      <c r="AD9" s="15" t="str">
        <f aca="false">IF(SUMIFS(Выработка!$F$5:$F$254,Выработка!$C$5:$C$254,$A9,Выработка!$A$5:$A$254,AD$3)=0,"",SUMIFS(Выработка!$F$5:$F$254,Выработка!$C$5:$C$254,$A9,Выработка!$A$5:$A$254,AD$3))</f>
        <v/>
      </c>
      <c r="AE9" s="15" t="str">
        <f aca="false">IF(SUMIFS(Выработка!$F$5:$F$254,Выработка!$C$5:$C$254,$A9,Выработка!$A$5:$A$254,AE$3)=0,"",SUMIFS(Выработка!$F$5:$F$254,Выработка!$C$5:$C$254,$A9,Выработка!$A$5:$A$254,AE$3))</f>
        <v/>
      </c>
      <c r="AF9" s="15" t="str">
        <f aca="false">IF(SUMIFS(Выработка!$F$5:$F$254,Выработка!$C$5:$C$254,$A9,Выработка!$A$5:$A$254,AF$3)=0,"",SUMIFS(Выработка!$F$5:$F$254,Выработка!$C$5:$C$254,$A9,Выработка!$A$5:$A$254,AF$3))</f>
        <v/>
      </c>
      <c r="AG9" s="15" t="n">
        <f aca="false">SUM(C9:AF9)</f>
        <v>586</v>
      </c>
    </row>
    <row r="10" customFormat="false" ht="15" hidden="false" customHeight="false" outlineLevel="0" collapsed="false">
      <c r="A10" s="14" t="s">
        <v>14</v>
      </c>
      <c r="B10" s="15" t="n">
        <f aca="false">SUMIF(Выработка!$C$5:$C$254,$A10,Выработка!$F$5:$F$254)</f>
        <v>1907.1</v>
      </c>
      <c r="C10" s="15" t="n">
        <f aca="false">IF(SUMIFS(Выработка!$F$5:$F$254,Выработка!$C$5:$C$254,$A10,Выработка!$A$5:$A$254,C$3)=0,"",SUMIFS(Выработка!$F$5:$F$254,Выработка!$C$5:$C$254,$A10,Выработка!$A$5:$A$254,C$3))</f>
        <v>44</v>
      </c>
      <c r="D10" s="15" t="str">
        <f aca="false">IF(SUMIFS(Выработка!$F$5:$F$254,Выработка!$C$5:$C$254,$A10,Выработка!$A$5:$A$254,D$3)=0,"",SUMIFS(Выработка!$F$5:$F$254,Выработка!$C$5:$C$254,$A10,Выработка!$A$5:$A$254,D$3))</f>
        <v/>
      </c>
      <c r="E10" s="15" t="n">
        <f aca="false">IF(SUMIFS(Выработка!$F$5:$F$254,Выработка!$C$5:$C$254,$A10,Выработка!$A$5:$A$254,E$3)=0,"",SUMIFS(Выработка!$F$5:$F$254,Выработка!$C$5:$C$254,$A10,Выработка!$A$5:$A$254,E$3))</f>
        <v>102.44</v>
      </c>
      <c r="F10" s="15" t="n">
        <f aca="false">IF(SUMIFS(Выработка!$F$5:$F$254,Выработка!$C$5:$C$254,$A10,Выработка!$A$5:$A$254,F$3)=0,"",SUMIFS(Выработка!$F$5:$F$254,Выработка!$C$5:$C$254,$A10,Выработка!$A$5:$A$254,F$3))</f>
        <v>56</v>
      </c>
      <c r="G10" s="15" t="n">
        <f aca="false">IF(SUMIFS(Выработка!$F$5:$F$254,Выработка!$C$5:$C$254,$A10,Выработка!$A$5:$A$254,G$3)=0,"",SUMIFS(Выработка!$F$5:$F$254,Выработка!$C$5:$C$254,$A10,Выработка!$A$5:$A$254,G$3))</f>
        <v>56</v>
      </c>
      <c r="H10" s="15" t="str">
        <f aca="false">IF(SUMIFS(Выработка!$F$5:$F$254,Выработка!$C$5:$C$254,$A10,Выработка!$A$5:$A$254,H$3)=0,"",SUMIFS(Выработка!$F$5:$F$254,Выработка!$C$5:$C$254,$A10,Выработка!$A$5:$A$254,H$3))</f>
        <v/>
      </c>
      <c r="I10" s="15" t="n">
        <f aca="false">IF(SUMIFS(Выработка!$F$5:$F$254,Выработка!$C$5:$C$254,$A10,Выработка!$A$5:$A$254,I$3)=0,"",SUMIFS(Выработка!$F$5:$F$254,Выработка!$C$5:$C$254,$A10,Выработка!$A$5:$A$254,I$3))</f>
        <v>58</v>
      </c>
      <c r="J10" s="15" t="n">
        <f aca="false">IF(SUMIFS(Выработка!$F$5:$F$254,Выработка!$C$5:$C$254,$A10,Выработка!$A$5:$A$254,J$3)=0,"",SUMIFS(Выработка!$F$5:$F$254,Выработка!$C$5:$C$254,$A10,Выработка!$A$5:$A$254,J$3))</f>
        <v>65.9</v>
      </c>
      <c r="K10" s="15" t="n">
        <f aca="false">IF(SUMIFS(Выработка!$F$5:$F$254,Выработка!$C$5:$C$254,$A10,Выработка!$A$5:$A$254,K$3)=0,"",SUMIFS(Выработка!$F$5:$F$254,Выработка!$C$5:$C$254,$A10,Выработка!$A$5:$A$254,K$3))</f>
        <v>22.6</v>
      </c>
      <c r="L10" s="15" t="n">
        <f aca="false">IF(SUMIFS(Выработка!$F$5:$F$254,Выработка!$C$5:$C$254,$A10,Выработка!$A$5:$A$254,L$3)=0,"",SUMIFS(Выработка!$F$5:$F$254,Выработка!$C$5:$C$254,$A10,Выработка!$A$5:$A$254,L$3))</f>
        <v>87.16</v>
      </c>
      <c r="M10" s="15" t="n">
        <f aca="false">IF(SUMIFS(Выработка!$F$5:$F$254,Выработка!$C$5:$C$254,$A10,Выработка!$A$5:$A$254,M$3)=0,"",SUMIFS(Выработка!$F$5:$F$254,Выработка!$C$5:$C$254,$A10,Выработка!$A$5:$A$254,M$3))</f>
        <v>49</v>
      </c>
      <c r="N10" s="15" t="n">
        <f aca="false">IF(SUMIFS(Выработка!$F$5:$F$254,Выработка!$C$5:$C$254,$A10,Выработка!$A$5:$A$254,N$3)=0,"",SUMIFS(Выработка!$F$5:$F$254,Выработка!$C$5:$C$254,$A10,Выработка!$A$5:$A$254,N$3))</f>
        <v>30</v>
      </c>
      <c r="O10" s="15" t="str">
        <f aca="false">IF(SUMIFS(Выработка!$F$5:$F$254,Выработка!$C$5:$C$254,$A10,Выработка!$A$5:$A$254,O$3)=0,"",SUMIFS(Выработка!$F$5:$F$254,Выработка!$C$5:$C$254,$A10,Выработка!$A$5:$A$254,O$3))</f>
        <v/>
      </c>
      <c r="P10" s="15" t="n">
        <f aca="false">IF(SUMIFS(Выработка!$F$5:$F$254,Выработка!$C$5:$C$254,$A10,Выработка!$A$5:$A$254,P$3)=0,"",SUMIFS(Выработка!$F$5:$F$254,Выработка!$C$5:$C$254,$A10,Выработка!$A$5:$A$254,P$3))</f>
        <v>48</v>
      </c>
      <c r="Q10" s="15" t="n">
        <f aca="false">IF(SUMIFS(Выработка!$F$5:$F$254,Выработка!$C$5:$C$254,$A10,Выработка!$A$5:$A$254,Q$3)=0,"",SUMIFS(Выработка!$F$5:$F$254,Выработка!$C$5:$C$254,$A10,Выработка!$A$5:$A$254,Q$3))</f>
        <v>31</v>
      </c>
      <c r="R10" s="15" t="n">
        <f aca="false">IF(SUMIFS(Выработка!$F$5:$F$254,Выработка!$C$5:$C$254,$A10,Выработка!$A$5:$A$254,R$3)=0,"",SUMIFS(Выработка!$F$5:$F$254,Выработка!$C$5:$C$254,$A10,Выработка!$A$5:$A$254,R$3))</f>
        <v>35</v>
      </c>
      <c r="S10" s="15" t="n">
        <f aca="false">IF(SUMIFS(Выработка!$F$5:$F$254,Выработка!$C$5:$C$254,$A10,Выработка!$A$5:$A$254,S$3)=0,"",SUMIFS(Выработка!$F$5:$F$254,Выработка!$C$5:$C$254,$A10,Выработка!$A$5:$A$254,S$3))</f>
        <v>19</v>
      </c>
      <c r="T10" s="15" t="str">
        <f aca="false">IF(SUMIFS(Выработка!$F$5:$F$254,Выработка!$C$5:$C$254,$A10,Выработка!$A$5:$A$254,T$3)=0,"",SUMIFS(Выработка!$F$5:$F$254,Выработка!$C$5:$C$254,$A10,Выработка!$A$5:$A$254,T$3))</f>
        <v/>
      </c>
      <c r="U10" s="15" t="str">
        <f aca="false">IF(SUMIFS(Выработка!$F$5:$F$254,Выработка!$C$5:$C$254,$A10,Выработка!$A$5:$A$254,U$3)=0,"",SUMIFS(Выработка!$F$5:$F$254,Выработка!$C$5:$C$254,$A10,Выработка!$A$5:$A$254,U$3))</f>
        <v/>
      </c>
      <c r="V10" s="15" t="str">
        <f aca="false">IF(SUMIFS(Выработка!$F$5:$F$254,Выработка!$C$5:$C$254,$A10,Выработка!$A$5:$A$254,V$3)=0,"",SUMIFS(Выработка!$F$5:$F$254,Выработка!$C$5:$C$254,$A10,Выработка!$A$5:$A$254,V$3))</f>
        <v/>
      </c>
      <c r="W10" s="15" t="str">
        <f aca="false">IF(SUMIFS(Выработка!$F$5:$F$254,Выработка!$C$5:$C$254,$A10,Выработка!$A$5:$A$254,W$3)=0,"",SUMIFS(Выработка!$F$5:$F$254,Выработка!$C$5:$C$254,$A10,Выработка!$A$5:$A$254,W$3))</f>
        <v/>
      </c>
      <c r="X10" s="15" t="str">
        <f aca="false">IF(SUMIFS(Выработка!$F$5:$F$254,Выработка!$C$5:$C$254,$A10,Выработка!$A$5:$A$254,X$3)=0,"",SUMIFS(Выработка!$F$5:$F$254,Выработка!$C$5:$C$254,$A10,Выработка!$A$5:$A$254,X$3))</f>
        <v/>
      </c>
      <c r="Y10" s="15" t="str">
        <f aca="false">IF(SUMIFS(Выработка!$F$5:$F$254,Выработка!$C$5:$C$254,$A10,Выработка!$A$5:$A$254,Y$3)=0,"",SUMIFS(Выработка!$F$5:$F$254,Выработка!$C$5:$C$254,$A10,Выработка!$A$5:$A$254,Y$3))</f>
        <v/>
      </c>
      <c r="Z10" s="15" t="str">
        <f aca="false">IF(SUMIFS(Выработка!$F$5:$F$254,Выработка!$C$5:$C$254,$A10,Выработка!$A$5:$A$254,Z$3)=0,"",SUMIFS(Выработка!$F$5:$F$254,Выработка!$C$5:$C$254,$A10,Выработка!$A$5:$A$254,Z$3))</f>
        <v/>
      </c>
      <c r="AA10" s="15" t="str">
        <f aca="false">IF(SUMIFS(Выработка!$F$5:$F$254,Выработка!$C$5:$C$254,$A10,Выработка!$A$5:$A$254,AA$3)=0,"",SUMIFS(Выработка!$F$5:$F$254,Выработка!$C$5:$C$254,$A10,Выработка!$A$5:$A$254,AA$3))</f>
        <v/>
      </c>
      <c r="AB10" s="15" t="str">
        <f aca="false">IF(SUMIFS(Выработка!$F$5:$F$254,Выработка!$C$5:$C$254,$A10,Выработка!$A$5:$A$254,AB$3)=0,"",SUMIFS(Выработка!$F$5:$F$254,Выработка!$C$5:$C$254,$A10,Выработка!$A$5:$A$254,AB$3))</f>
        <v/>
      </c>
      <c r="AC10" s="15" t="str">
        <f aca="false">IF(SUMIFS(Выработка!$F$5:$F$254,Выработка!$C$5:$C$254,$A10,Выработка!$A$5:$A$254,AC$3)=0,"",SUMIFS(Выработка!$F$5:$F$254,Выработка!$C$5:$C$254,$A10,Выработка!$A$5:$A$254,AC$3))</f>
        <v/>
      </c>
      <c r="AD10" s="15" t="str">
        <f aca="false">IF(SUMIFS(Выработка!$F$5:$F$254,Выработка!$C$5:$C$254,$A10,Выработка!$A$5:$A$254,AD$3)=0,"",SUMIFS(Выработка!$F$5:$F$254,Выработка!$C$5:$C$254,$A10,Выработка!$A$5:$A$254,AD$3))</f>
        <v/>
      </c>
      <c r="AE10" s="15" t="str">
        <f aca="false">IF(SUMIFS(Выработка!$F$5:$F$254,Выработка!$C$5:$C$254,$A10,Выработка!$A$5:$A$254,AE$3)=0,"",SUMIFS(Выработка!$F$5:$F$254,Выработка!$C$5:$C$254,$A10,Выработка!$A$5:$A$254,AE$3))</f>
        <v/>
      </c>
      <c r="AF10" s="15" t="str">
        <f aca="false">IF(SUMIFS(Выработка!$F$5:$F$254,Выработка!$C$5:$C$254,$A10,Выработка!$A$5:$A$254,AF$3)=0,"",SUMIFS(Выработка!$F$5:$F$254,Выработка!$C$5:$C$254,$A10,Выработка!$A$5:$A$254,AF$3))</f>
        <v/>
      </c>
      <c r="AG10" s="15" t="n">
        <f aca="false">SUM(C10:AF10)</f>
        <v>704.1</v>
      </c>
    </row>
    <row r="11" customFormat="false" ht="15" hidden="false" customHeight="false" outlineLevel="0" collapsed="false">
      <c r="A11" s="14" t="s">
        <v>15</v>
      </c>
      <c r="B11" s="15" t="n">
        <f aca="false">SUMIF(Выработка!$C$5:$C$254,$A11,Выработка!$F$5:$F$254)</f>
        <v>1231</v>
      </c>
      <c r="C11" s="15" t="n">
        <f aca="false">IF(SUMIFS(Выработка!$F$5:$F$254,Выработка!$C$5:$C$254,$A11,Выработка!$A$5:$A$254,C$3)=0,"",SUMIFS(Выработка!$F$5:$F$254,Выработка!$C$5:$C$254,$A11,Выработка!$A$5:$A$254,C$3))</f>
        <v>162</v>
      </c>
      <c r="D11" s="15" t="str">
        <f aca="false">IF(SUMIFS(Выработка!$F$5:$F$254,Выработка!$C$5:$C$254,$A11,Выработка!$A$5:$A$254,D$3)=0,"",SUMIFS(Выработка!$F$5:$F$254,Выработка!$C$5:$C$254,$A11,Выработка!$A$5:$A$254,D$3))</f>
        <v/>
      </c>
      <c r="E11" s="15" t="n">
        <f aca="false">IF(SUMIFS(Выработка!$F$5:$F$254,Выработка!$C$5:$C$254,$A11,Выработка!$A$5:$A$254,E$3)=0,"",SUMIFS(Выработка!$F$5:$F$254,Выработка!$C$5:$C$254,$A11,Выработка!$A$5:$A$254,E$3))</f>
        <v>94</v>
      </c>
      <c r="F11" s="15" t="str">
        <f aca="false">IF(SUMIFS(Выработка!$F$5:$F$254,Выработка!$C$5:$C$254,$A11,Выработка!$A$5:$A$254,F$3)=0,"",SUMIFS(Выработка!$F$5:$F$254,Выработка!$C$5:$C$254,$A11,Выработка!$A$5:$A$254,F$3))</f>
        <v/>
      </c>
      <c r="G11" s="15" t="str">
        <f aca="false">IF(SUMIFS(Выработка!$F$5:$F$254,Выработка!$C$5:$C$254,$A11,Выработка!$A$5:$A$254,G$3)=0,"",SUMIFS(Выработка!$F$5:$F$254,Выработка!$C$5:$C$254,$A11,Выработка!$A$5:$A$254,G$3))</f>
        <v/>
      </c>
      <c r="H11" s="15" t="str">
        <f aca="false">IF(SUMIFS(Выработка!$F$5:$F$254,Выработка!$C$5:$C$254,$A11,Выработка!$A$5:$A$254,H$3)=0,"",SUMIFS(Выработка!$F$5:$F$254,Выработка!$C$5:$C$254,$A11,Выработка!$A$5:$A$254,H$3))</f>
        <v/>
      </c>
      <c r="I11" s="15" t="str">
        <f aca="false">IF(SUMIFS(Выработка!$F$5:$F$254,Выработка!$C$5:$C$254,$A11,Выработка!$A$5:$A$254,I$3)=0,"",SUMIFS(Выработка!$F$5:$F$254,Выработка!$C$5:$C$254,$A11,Выработка!$A$5:$A$254,I$3))</f>
        <v/>
      </c>
      <c r="J11" s="15" t="str">
        <f aca="false">IF(SUMIFS(Выработка!$F$5:$F$254,Выработка!$C$5:$C$254,$A11,Выработка!$A$5:$A$254,J$3)=0,"",SUMIFS(Выработка!$F$5:$F$254,Выработка!$C$5:$C$254,$A11,Выработка!$A$5:$A$254,J$3))</f>
        <v/>
      </c>
      <c r="K11" s="15" t="str">
        <f aca="false">IF(SUMIFS(Выработка!$F$5:$F$254,Выработка!$C$5:$C$254,$A11,Выработка!$A$5:$A$254,K$3)=0,"",SUMIFS(Выработка!$F$5:$F$254,Выработка!$C$5:$C$254,$A11,Выработка!$A$5:$A$254,K$3))</f>
        <v/>
      </c>
      <c r="L11" s="15" t="str">
        <f aca="false">IF(SUMIFS(Выработка!$F$5:$F$254,Выработка!$C$5:$C$254,$A11,Выработка!$A$5:$A$254,L$3)=0,"",SUMIFS(Выработка!$F$5:$F$254,Выработка!$C$5:$C$254,$A11,Выработка!$A$5:$A$254,L$3))</f>
        <v/>
      </c>
      <c r="M11" s="15" t="str">
        <f aca="false">IF(SUMIFS(Выработка!$F$5:$F$254,Выработка!$C$5:$C$254,$A11,Выработка!$A$5:$A$254,M$3)=0,"",SUMIFS(Выработка!$F$5:$F$254,Выработка!$C$5:$C$254,$A11,Выработка!$A$5:$A$254,M$3))</f>
        <v/>
      </c>
      <c r="N11" s="15" t="str">
        <f aca="false">IF(SUMIFS(Выработка!$F$5:$F$254,Выработка!$C$5:$C$254,$A11,Выработка!$A$5:$A$254,N$3)=0,"",SUMIFS(Выработка!$F$5:$F$254,Выработка!$C$5:$C$254,$A11,Выработка!$A$5:$A$254,N$3))</f>
        <v/>
      </c>
      <c r="O11" s="15" t="str">
        <f aca="false">IF(SUMIFS(Выработка!$F$5:$F$254,Выработка!$C$5:$C$254,$A11,Выработка!$A$5:$A$254,O$3)=0,"",SUMIFS(Выработка!$F$5:$F$254,Выработка!$C$5:$C$254,$A11,Выработка!$A$5:$A$254,O$3))</f>
        <v/>
      </c>
      <c r="P11" s="15" t="str">
        <f aca="false">IF(SUMIFS(Выработка!$F$5:$F$254,Выработка!$C$5:$C$254,$A11,Выработка!$A$5:$A$254,P$3)=0,"",SUMIFS(Выработка!$F$5:$F$254,Выработка!$C$5:$C$254,$A11,Выработка!$A$5:$A$254,P$3))</f>
        <v/>
      </c>
      <c r="Q11" s="15" t="str">
        <f aca="false">IF(SUMIFS(Выработка!$F$5:$F$254,Выработка!$C$5:$C$254,$A11,Выработка!$A$5:$A$254,Q$3)=0,"",SUMIFS(Выработка!$F$5:$F$254,Выработка!$C$5:$C$254,$A11,Выработка!$A$5:$A$254,Q$3))</f>
        <v/>
      </c>
      <c r="R11" s="15" t="str">
        <f aca="false">IF(SUMIFS(Выработка!$F$5:$F$254,Выработка!$C$5:$C$254,$A11,Выработка!$A$5:$A$254,R$3)=0,"",SUMIFS(Выработка!$F$5:$F$254,Выработка!$C$5:$C$254,$A11,Выработка!$A$5:$A$254,R$3))</f>
        <v/>
      </c>
      <c r="S11" s="15" t="str">
        <f aca="false">IF(SUMIFS(Выработка!$F$5:$F$254,Выработка!$C$5:$C$254,$A11,Выработка!$A$5:$A$254,S$3)=0,"",SUMIFS(Выработка!$F$5:$F$254,Выработка!$C$5:$C$254,$A11,Выработка!$A$5:$A$254,S$3))</f>
        <v/>
      </c>
      <c r="T11" s="15" t="str">
        <f aca="false">IF(SUMIFS(Выработка!$F$5:$F$254,Выработка!$C$5:$C$254,$A11,Выработка!$A$5:$A$254,T$3)=0,"",SUMIFS(Выработка!$F$5:$F$254,Выработка!$C$5:$C$254,$A11,Выработка!$A$5:$A$254,T$3))</f>
        <v/>
      </c>
      <c r="U11" s="15" t="str">
        <f aca="false">IF(SUMIFS(Выработка!$F$5:$F$254,Выработка!$C$5:$C$254,$A11,Выработка!$A$5:$A$254,U$3)=0,"",SUMIFS(Выработка!$F$5:$F$254,Выработка!$C$5:$C$254,$A11,Выработка!$A$5:$A$254,U$3))</f>
        <v/>
      </c>
      <c r="V11" s="15" t="str">
        <f aca="false">IF(SUMIFS(Выработка!$F$5:$F$254,Выработка!$C$5:$C$254,$A11,Выработка!$A$5:$A$254,V$3)=0,"",SUMIFS(Выработка!$F$5:$F$254,Выработка!$C$5:$C$254,$A11,Выработка!$A$5:$A$254,V$3))</f>
        <v/>
      </c>
      <c r="W11" s="15" t="str">
        <f aca="false">IF(SUMIFS(Выработка!$F$5:$F$254,Выработка!$C$5:$C$254,$A11,Выработка!$A$5:$A$254,W$3)=0,"",SUMIFS(Выработка!$F$5:$F$254,Выработка!$C$5:$C$254,$A11,Выработка!$A$5:$A$254,W$3))</f>
        <v/>
      </c>
      <c r="X11" s="15" t="str">
        <f aca="false">IF(SUMIFS(Выработка!$F$5:$F$254,Выработка!$C$5:$C$254,$A11,Выработка!$A$5:$A$254,X$3)=0,"",SUMIFS(Выработка!$F$5:$F$254,Выработка!$C$5:$C$254,$A11,Выработка!$A$5:$A$254,X$3))</f>
        <v/>
      </c>
      <c r="Y11" s="15" t="str">
        <f aca="false">IF(SUMIFS(Выработка!$F$5:$F$254,Выработка!$C$5:$C$254,$A11,Выработка!$A$5:$A$254,Y$3)=0,"",SUMIFS(Выработка!$F$5:$F$254,Выработка!$C$5:$C$254,$A11,Выработка!$A$5:$A$254,Y$3))</f>
        <v/>
      </c>
      <c r="Z11" s="15" t="str">
        <f aca="false">IF(SUMIFS(Выработка!$F$5:$F$254,Выработка!$C$5:$C$254,$A11,Выработка!$A$5:$A$254,Z$3)=0,"",SUMIFS(Выработка!$F$5:$F$254,Выработка!$C$5:$C$254,$A11,Выработка!$A$5:$A$254,Z$3))</f>
        <v/>
      </c>
      <c r="AA11" s="15" t="str">
        <f aca="false">IF(SUMIFS(Выработка!$F$5:$F$254,Выработка!$C$5:$C$254,$A11,Выработка!$A$5:$A$254,AA$3)=0,"",SUMIFS(Выработка!$F$5:$F$254,Выработка!$C$5:$C$254,$A11,Выработка!$A$5:$A$254,AA$3))</f>
        <v/>
      </c>
      <c r="AB11" s="15" t="str">
        <f aca="false">IF(SUMIFS(Выработка!$F$5:$F$254,Выработка!$C$5:$C$254,$A11,Выработка!$A$5:$A$254,AB$3)=0,"",SUMIFS(Выработка!$F$5:$F$254,Выработка!$C$5:$C$254,$A11,Выработка!$A$5:$A$254,AB$3))</f>
        <v/>
      </c>
      <c r="AC11" s="15" t="str">
        <f aca="false">IF(SUMIFS(Выработка!$F$5:$F$254,Выработка!$C$5:$C$254,$A11,Выработка!$A$5:$A$254,AC$3)=0,"",SUMIFS(Выработка!$F$5:$F$254,Выработка!$C$5:$C$254,$A11,Выработка!$A$5:$A$254,AC$3))</f>
        <v/>
      </c>
      <c r="AD11" s="15" t="str">
        <f aca="false">IF(SUMIFS(Выработка!$F$5:$F$254,Выработка!$C$5:$C$254,$A11,Выработка!$A$5:$A$254,AD$3)=0,"",SUMIFS(Выработка!$F$5:$F$254,Выработка!$C$5:$C$254,$A11,Выработка!$A$5:$A$254,AD$3))</f>
        <v/>
      </c>
      <c r="AE11" s="15" t="n">
        <f aca="false">IF(SUMIFS(Выработка!$F$5:$F$254,Выработка!$C$5:$C$254,$A11,Выработка!$A$5:$A$254,AE$3)=0,"",SUMIFS(Выработка!$F$5:$F$254,Выработка!$C$5:$C$254,$A11,Выработка!$A$5:$A$254,AE$3))</f>
        <v>84</v>
      </c>
      <c r="AF11" s="15" t="str">
        <f aca="false">IF(SUMIFS(Выработка!$F$5:$F$254,Выработка!$C$5:$C$254,$A11,Выработка!$A$5:$A$254,AF$3)=0,"",SUMIFS(Выработка!$F$5:$F$254,Выработка!$C$5:$C$254,$A11,Выработка!$A$5:$A$254,AF$3))</f>
        <v/>
      </c>
      <c r="AG11" s="15" t="n">
        <f aca="false">SUM(C11:AF11)</f>
        <v>340</v>
      </c>
    </row>
    <row r="12" customFormat="false" ht="15" hidden="false" customHeight="false" outlineLevel="0" collapsed="false">
      <c r="A12" s="14" t="s">
        <v>16</v>
      </c>
      <c r="B12" s="15" t="n">
        <f aca="false">SUMIF(Выработка!$C$5:$C$254,$A12,Выработка!$F$5:$F$254)</f>
        <v>725</v>
      </c>
      <c r="C12" s="15" t="n">
        <f aca="false">IF(SUMIFS(Выработка!$F$5:$F$254,Выработка!$C$5:$C$254,$A12,Выработка!$A$5:$A$254,C$3)=0,"",SUMIFS(Выработка!$F$5:$F$254,Выработка!$C$5:$C$254,$A12,Выработка!$A$5:$A$254,C$3))</f>
        <v>39</v>
      </c>
      <c r="D12" s="15" t="n">
        <f aca="false">IF(SUMIFS(Выработка!$F$5:$F$254,Выработка!$C$5:$C$254,$A12,Выработка!$A$5:$A$254,D$3)=0,"",SUMIFS(Выработка!$F$5:$F$254,Выработка!$C$5:$C$254,$A12,Выработка!$A$5:$A$254,D$3))</f>
        <v>46</v>
      </c>
      <c r="E12" s="15" t="str">
        <f aca="false">IF(SUMIFS(Выработка!$F$5:$F$254,Выработка!$C$5:$C$254,$A12,Выработка!$A$5:$A$254,E$3)=0,"",SUMIFS(Выработка!$F$5:$F$254,Выработка!$C$5:$C$254,$A12,Выработка!$A$5:$A$254,E$3))</f>
        <v/>
      </c>
      <c r="F12" s="15" t="str">
        <f aca="false">IF(SUMIFS(Выработка!$F$5:$F$254,Выработка!$C$5:$C$254,$A12,Выработка!$A$5:$A$254,F$3)=0,"",SUMIFS(Выработка!$F$5:$F$254,Выработка!$C$5:$C$254,$A12,Выработка!$A$5:$A$254,F$3))</f>
        <v/>
      </c>
      <c r="G12" s="15" t="n">
        <f aca="false">IF(SUMIFS(Выработка!$F$5:$F$254,Выработка!$C$5:$C$254,$A12,Выработка!$A$5:$A$254,G$3)=0,"",SUMIFS(Выработка!$F$5:$F$254,Выработка!$C$5:$C$254,$A12,Выработка!$A$5:$A$254,G$3))</f>
        <v>58</v>
      </c>
      <c r="H12" s="15" t="n">
        <f aca="false">IF(SUMIFS(Выработка!$F$5:$F$254,Выработка!$C$5:$C$254,$A12,Выработка!$A$5:$A$254,H$3)=0,"",SUMIFS(Выработка!$F$5:$F$254,Выработка!$C$5:$C$254,$A12,Выработка!$A$5:$A$254,H$3))</f>
        <v>59</v>
      </c>
      <c r="I12" s="15" t="n">
        <f aca="false">IF(SUMIFS(Выработка!$F$5:$F$254,Выработка!$C$5:$C$254,$A12,Выработка!$A$5:$A$254,I$3)=0,"",SUMIFS(Выработка!$F$5:$F$254,Выработка!$C$5:$C$254,$A12,Выработка!$A$5:$A$254,I$3))</f>
        <v>58</v>
      </c>
      <c r="J12" s="15" t="n">
        <f aca="false">IF(SUMIFS(Выработка!$F$5:$F$254,Выработка!$C$5:$C$254,$A12,Выработка!$A$5:$A$254,J$3)=0,"",SUMIFS(Выработка!$F$5:$F$254,Выработка!$C$5:$C$254,$A12,Выработка!$A$5:$A$254,J$3))</f>
        <v>17</v>
      </c>
      <c r="K12" s="15" t="str">
        <f aca="false">IF(SUMIFS(Выработка!$F$5:$F$254,Выработка!$C$5:$C$254,$A12,Выработка!$A$5:$A$254,K$3)=0,"",SUMIFS(Выработка!$F$5:$F$254,Выработка!$C$5:$C$254,$A12,Выработка!$A$5:$A$254,K$3))</f>
        <v/>
      </c>
      <c r="L12" s="15" t="str">
        <f aca="false">IF(SUMIFS(Выработка!$F$5:$F$254,Выработка!$C$5:$C$254,$A12,Выработка!$A$5:$A$254,L$3)=0,"",SUMIFS(Выработка!$F$5:$F$254,Выработка!$C$5:$C$254,$A12,Выработка!$A$5:$A$254,L$3))</f>
        <v/>
      </c>
      <c r="M12" s="15" t="str">
        <f aca="false">IF(SUMIFS(Выработка!$F$5:$F$254,Выработка!$C$5:$C$254,$A12,Выработка!$A$5:$A$254,M$3)=0,"",SUMIFS(Выработка!$F$5:$F$254,Выработка!$C$5:$C$254,$A12,Выработка!$A$5:$A$254,M$3))</f>
        <v/>
      </c>
      <c r="N12" s="15" t="str">
        <f aca="false">IF(SUMIFS(Выработка!$F$5:$F$254,Выработка!$C$5:$C$254,$A12,Выработка!$A$5:$A$254,N$3)=0,"",SUMIFS(Выработка!$F$5:$F$254,Выработка!$C$5:$C$254,$A12,Выработка!$A$5:$A$254,N$3))</f>
        <v/>
      </c>
      <c r="O12" s="15" t="str">
        <f aca="false">IF(SUMIFS(Выработка!$F$5:$F$254,Выработка!$C$5:$C$254,$A12,Выработка!$A$5:$A$254,O$3)=0,"",SUMIFS(Выработка!$F$5:$F$254,Выработка!$C$5:$C$254,$A12,Выработка!$A$5:$A$254,O$3))</f>
        <v/>
      </c>
      <c r="P12" s="15" t="str">
        <f aca="false">IF(SUMIFS(Выработка!$F$5:$F$254,Выработка!$C$5:$C$254,$A12,Выработка!$A$5:$A$254,P$3)=0,"",SUMIFS(Выработка!$F$5:$F$254,Выработка!$C$5:$C$254,$A12,Выработка!$A$5:$A$254,P$3))</f>
        <v/>
      </c>
      <c r="Q12" s="15" t="str">
        <f aca="false">IF(SUMIFS(Выработка!$F$5:$F$254,Выработка!$C$5:$C$254,$A12,Выработка!$A$5:$A$254,Q$3)=0,"",SUMIFS(Выработка!$F$5:$F$254,Выработка!$C$5:$C$254,$A12,Выработка!$A$5:$A$254,Q$3))</f>
        <v/>
      </c>
      <c r="R12" s="15" t="str">
        <f aca="false">IF(SUMIFS(Выработка!$F$5:$F$254,Выработка!$C$5:$C$254,$A12,Выработка!$A$5:$A$254,R$3)=0,"",SUMIFS(Выработка!$F$5:$F$254,Выработка!$C$5:$C$254,$A12,Выработка!$A$5:$A$254,R$3))</f>
        <v/>
      </c>
      <c r="S12" s="15" t="str">
        <f aca="false">IF(SUMIFS(Выработка!$F$5:$F$254,Выработка!$C$5:$C$254,$A12,Выработка!$A$5:$A$254,S$3)=0,"",SUMIFS(Выработка!$F$5:$F$254,Выработка!$C$5:$C$254,$A12,Выработка!$A$5:$A$254,S$3))</f>
        <v/>
      </c>
      <c r="T12" s="15" t="str">
        <f aca="false">IF(SUMIFS(Выработка!$F$5:$F$254,Выработка!$C$5:$C$254,$A12,Выработка!$A$5:$A$254,T$3)=0,"",SUMIFS(Выработка!$F$5:$F$254,Выработка!$C$5:$C$254,$A12,Выработка!$A$5:$A$254,T$3))</f>
        <v/>
      </c>
      <c r="U12" s="15" t="str">
        <f aca="false">IF(SUMIFS(Выработка!$F$5:$F$254,Выработка!$C$5:$C$254,$A12,Выработка!$A$5:$A$254,U$3)=0,"",SUMIFS(Выработка!$F$5:$F$254,Выработка!$C$5:$C$254,$A12,Выработка!$A$5:$A$254,U$3))</f>
        <v/>
      </c>
      <c r="V12" s="15" t="str">
        <f aca="false">IF(SUMIFS(Выработка!$F$5:$F$254,Выработка!$C$5:$C$254,$A12,Выработка!$A$5:$A$254,V$3)=0,"",SUMIFS(Выработка!$F$5:$F$254,Выработка!$C$5:$C$254,$A12,Выработка!$A$5:$A$254,V$3))</f>
        <v/>
      </c>
      <c r="W12" s="15" t="str">
        <f aca="false">IF(SUMIFS(Выработка!$F$5:$F$254,Выработка!$C$5:$C$254,$A12,Выработка!$A$5:$A$254,W$3)=0,"",SUMIFS(Выработка!$F$5:$F$254,Выработка!$C$5:$C$254,$A12,Выработка!$A$5:$A$254,W$3))</f>
        <v/>
      </c>
      <c r="X12" s="15" t="str">
        <f aca="false">IF(SUMIFS(Выработка!$F$5:$F$254,Выработка!$C$5:$C$254,$A12,Выработка!$A$5:$A$254,X$3)=0,"",SUMIFS(Выработка!$F$5:$F$254,Выработка!$C$5:$C$254,$A12,Выработка!$A$5:$A$254,X$3))</f>
        <v/>
      </c>
      <c r="Y12" s="15" t="str">
        <f aca="false">IF(SUMIFS(Выработка!$F$5:$F$254,Выработка!$C$5:$C$254,$A12,Выработка!$A$5:$A$254,Y$3)=0,"",SUMIFS(Выработка!$F$5:$F$254,Выработка!$C$5:$C$254,$A12,Выработка!$A$5:$A$254,Y$3))</f>
        <v/>
      </c>
      <c r="Z12" s="15" t="str">
        <f aca="false">IF(SUMIFS(Выработка!$F$5:$F$254,Выработка!$C$5:$C$254,$A12,Выработка!$A$5:$A$254,Z$3)=0,"",SUMIFS(Выработка!$F$5:$F$254,Выработка!$C$5:$C$254,$A12,Выработка!$A$5:$A$254,Z$3))</f>
        <v/>
      </c>
      <c r="AA12" s="15" t="str">
        <f aca="false">IF(SUMIFS(Выработка!$F$5:$F$254,Выработка!$C$5:$C$254,$A12,Выработка!$A$5:$A$254,AA$3)=0,"",SUMIFS(Выработка!$F$5:$F$254,Выработка!$C$5:$C$254,$A12,Выработка!$A$5:$A$254,AA$3))</f>
        <v/>
      </c>
      <c r="AB12" s="15" t="str">
        <f aca="false">IF(SUMIFS(Выработка!$F$5:$F$254,Выработка!$C$5:$C$254,$A12,Выработка!$A$5:$A$254,AB$3)=0,"",SUMIFS(Выработка!$F$5:$F$254,Выработка!$C$5:$C$254,$A12,Выработка!$A$5:$A$254,AB$3))</f>
        <v/>
      </c>
      <c r="AC12" s="15" t="str">
        <f aca="false">IF(SUMIFS(Выработка!$F$5:$F$254,Выработка!$C$5:$C$254,$A12,Выработка!$A$5:$A$254,AC$3)=0,"",SUMIFS(Выработка!$F$5:$F$254,Выработка!$C$5:$C$254,$A12,Выработка!$A$5:$A$254,AC$3))</f>
        <v/>
      </c>
      <c r="AD12" s="15" t="str">
        <f aca="false">IF(SUMIFS(Выработка!$F$5:$F$254,Выработка!$C$5:$C$254,$A12,Выработка!$A$5:$A$254,AD$3)=0,"",SUMIFS(Выработка!$F$5:$F$254,Выработка!$C$5:$C$254,$A12,Выработка!$A$5:$A$254,AD$3))</f>
        <v/>
      </c>
      <c r="AE12" s="15" t="str">
        <f aca="false">IF(SUMIFS(Выработка!$F$5:$F$254,Выработка!$C$5:$C$254,$A12,Выработка!$A$5:$A$254,AE$3)=0,"",SUMIFS(Выработка!$F$5:$F$254,Выработка!$C$5:$C$254,$A12,Выработка!$A$5:$A$254,AE$3))</f>
        <v/>
      </c>
      <c r="AF12" s="15" t="str">
        <f aca="false">IF(SUMIFS(Выработка!$F$5:$F$254,Выработка!$C$5:$C$254,$A12,Выработка!$A$5:$A$254,AF$3)=0,"",SUMIFS(Выработка!$F$5:$F$254,Выработка!$C$5:$C$254,$A12,Выработка!$A$5:$A$254,AF$3))</f>
        <v/>
      </c>
      <c r="AG12" s="15" t="n">
        <f aca="false">SUM(C12:AF12)</f>
        <v>277</v>
      </c>
    </row>
    <row r="13" customFormat="false" ht="15" hidden="false" customHeight="false" outlineLevel="0" collapsed="false">
      <c r="A13" s="14" t="s">
        <v>17</v>
      </c>
      <c r="B13" s="15" t="n">
        <f aca="false">SUMIF(Выработка!$C$5:$C$254,$A13,Выработка!$F$5:$F$254)</f>
        <v>725</v>
      </c>
      <c r="C13" s="15" t="n">
        <f aca="false">IF(SUMIFS(Выработка!$F$5:$F$254,Выработка!$C$5:$C$254,$A13,Выработка!$A$5:$A$254,C$3)=0,"",SUMIFS(Выработка!$F$5:$F$254,Выработка!$C$5:$C$254,$A13,Выработка!$A$5:$A$254,C$3))</f>
        <v>39</v>
      </c>
      <c r="D13" s="15" t="n">
        <f aca="false">IF(SUMIFS(Выработка!$F$5:$F$254,Выработка!$C$5:$C$254,$A13,Выработка!$A$5:$A$254,D$3)=0,"",SUMIFS(Выработка!$F$5:$F$254,Выработка!$C$5:$C$254,$A13,Выработка!$A$5:$A$254,D$3))</f>
        <v>46</v>
      </c>
      <c r="E13" s="15" t="str">
        <f aca="false">IF(SUMIFS(Выработка!$F$5:$F$254,Выработка!$C$5:$C$254,$A13,Выработка!$A$5:$A$254,E$3)=0,"",SUMIFS(Выработка!$F$5:$F$254,Выработка!$C$5:$C$254,$A13,Выработка!$A$5:$A$254,E$3))</f>
        <v/>
      </c>
      <c r="F13" s="15" t="str">
        <f aca="false">IF(SUMIFS(Выработка!$F$5:$F$254,Выработка!$C$5:$C$254,$A13,Выработка!$A$5:$A$254,F$3)=0,"",SUMIFS(Выработка!$F$5:$F$254,Выработка!$C$5:$C$254,$A13,Выработка!$A$5:$A$254,F$3))</f>
        <v/>
      </c>
      <c r="G13" s="15" t="n">
        <f aca="false">IF(SUMIFS(Выработка!$F$5:$F$254,Выработка!$C$5:$C$254,$A13,Выработка!$A$5:$A$254,G$3)=0,"",SUMIFS(Выработка!$F$5:$F$254,Выработка!$C$5:$C$254,$A13,Выработка!$A$5:$A$254,G$3))</f>
        <v>58</v>
      </c>
      <c r="H13" s="15" t="n">
        <f aca="false">IF(SUMIFS(Выработка!$F$5:$F$254,Выработка!$C$5:$C$254,$A13,Выработка!$A$5:$A$254,H$3)=0,"",SUMIFS(Выработка!$F$5:$F$254,Выработка!$C$5:$C$254,$A13,Выработка!$A$5:$A$254,H$3))</f>
        <v>59</v>
      </c>
      <c r="I13" s="15" t="n">
        <f aca="false">IF(SUMIFS(Выработка!$F$5:$F$254,Выработка!$C$5:$C$254,$A13,Выработка!$A$5:$A$254,I$3)=0,"",SUMIFS(Выработка!$F$5:$F$254,Выработка!$C$5:$C$254,$A13,Выработка!$A$5:$A$254,I$3))</f>
        <v>58</v>
      </c>
      <c r="J13" s="15" t="n">
        <f aca="false">IF(SUMIFS(Выработка!$F$5:$F$254,Выработка!$C$5:$C$254,$A13,Выработка!$A$5:$A$254,J$3)=0,"",SUMIFS(Выработка!$F$5:$F$254,Выработка!$C$5:$C$254,$A13,Выработка!$A$5:$A$254,J$3))</f>
        <v>17</v>
      </c>
      <c r="K13" s="15" t="str">
        <f aca="false">IF(SUMIFS(Выработка!$F$5:$F$254,Выработка!$C$5:$C$254,$A13,Выработка!$A$5:$A$254,K$3)=0,"",SUMIFS(Выработка!$F$5:$F$254,Выработка!$C$5:$C$254,$A13,Выработка!$A$5:$A$254,K$3))</f>
        <v/>
      </c>
      <c r="L13" s="15" t="str">
        <f aca="false">IF(SUMIFS(Выработка!$F$5:$F$254,Выработка!$C$5:$C$254,$A13,Выработка!$A$5:$A$254,L$3)=0,"",SUMIFS(Выработка!$F$5:$F$254,Выработка!$C$5:$C$254,$A13,Выработка!$A$5:$A$254,L$3))</f>
        <v/>
      </c>
      <c r="M13" s="15" t="str">
        <f aca="false">IF(SUMIFS(Выработка!$F$5:$F$254,Выработка!$C$5:$C$254,$A13,Выработка!$A$5:$A$254,M$3)=0,"",SUMIFS(Выработка!$F$5:$F$254,Выработка!$C$5:$C$254,$A13,Выработка!$A$5:$A$254,M$3))</f>
        <v/>
      </c>
      <c r="N13" s="15" t="str">
        <f aca="false">IF(SUMIFS(Выработка!$F$5:$F$254,Выработка!$C$5:$C$254,$A13,Выработка!$A$5:$A$254,N$3)=0,"",SUMIFS(Выработка!$F$5:$F$254,Выработка!$C$5:$C$254,$A13,Выработка!$A$5:$A$254,N$3))</f>
        <v/>
      </c>
      <c r="O13" s="15" t="str">
        <f aca="false">IF(SUMIFS(Выработка!$F$5:$F$254,Выработка!$C$5:$C$254,$A13,Выработка!$A$5:$A$254,O$3)=0,"",SUMIFS(Выработка!$F$5:$F$254,Выработка!$C$5:$C$254,$A13,Выработка!$A$5:$A$254,O$3))</f>
        <v/>
      </c>
      <c r="P13" s="15" t="str">
        <f aca="false">IF(SUMIFS(Выработка!$F$5:$F$254,Выработка!$C$5:$C$254,$A13,Выработка!$A$5:$A$254,P$3)=0,"",SUMIFS(Выработка!$F$5:$F$254,Выработка!$C$5:$C$254,$A13,Выработка!$A$5:$A$254,P$3))</f>
        <v/>
      </c>
      <c r="Q13" s="15" t="str">
        <f aca="false">IF(SUMIFS(Выработка!$F$5:$F$254,Выработка!$C$5:$C$254,$A13,Выработка!$A$5:$A$254,Q$3)=0,"",SUMIFS(Выработка!$F$5:$F$254,Выработка!$C$5:$C$254,$A13,Выработка!$A$5:$A$254,Q$3))</f>
        <v/>
      </c>
      <c r="R13" s="15" t="str">
        <f aca="false">IF(SUMIFS(Выработка!$F$5:$F$254,Выработка!$C$5:$C$254,$A13,Выработка!$A$5:$A$254,R$3)=0,"",SUMIFS(Выработка!$F$5:$F$254,Выработка!$C$5:$C$254,$A13,Выработка!$A$5:$A$254,R$3))</f>
        <v/>
      </c>
      <c r="S13" s="15" t="str">
        <f aca="false">IF(SUMIFS(Выработка!$F$5:$F$254,Выработка!$C$5:$C$254,$A13,Выработка!$A$5:$A$254,S$3)=0,"",SUMIFS(Выработка!$F$5:$F$254,Выработка!$C$5:$C$254,$A13,Выработка!$A$5:$A$254,S$3))</f>
        <v/>
      </c>
      <c r="T13" s="15" t="str">
        <f aca="false">IF(SUMIFS(Выработка!$F$5:$F$254,Выработка!$C$5:$C$254,$A13,Выработка!$A$5:$A$254,T$3)=0,"",SUMIFS(Выработка!$F$5:$F$254,Выработка!$C$5:$C$254,$A13,Выработка!$A$5:$A$254,T$3))</f>
        <v/>
      </c>
      <c r="U13" s="15" t="str">
        <f aca="false">IF(SUMIFS(Выработка!$F$5:$F$254,Выработка!$C$5:$C$254,$A13,Выработка!$A$5:$A$254,U$3)=0,"",SUMIFS(Выработка!$F$5:$F$254,Выработка!$C$5:$C$254,$A13,Выработка!$A$5:$A$254,U$3))</f>
        <v/>
      </c>
      <c r="V13" s="15" t="str">
        <f aca="false">IF(SUMIFS(Выработка!$F$5:$F$254,Выработка!$C$5:$C$254,$A13,Выработка!$A$5:$A$254,V$3)=0,"",SUMIFS(Выработка!$F$5:$F$254,Выработка!$C$5:$C$254,$A13,Выработка!$A$5:$A$254,V$3))</f>
        <v/>
      </c>
      <c r="W13" s="15" t="str">
        <f aca="false">IF(SUMIFS(Выработка!$F$5:$F$254,Выработка!$C$5:$C$254,$A13,Выработка!$A$5:$A$254,W$3)=0,"",SUMIFS(Выработка!$F$5:$F$254,Выработка!$C$5:$C$254,$A13,Выработка!$A$5:$A$254,W$3))</f>
        <v/>
      </c>
      <c r="X13" s="15" t="str">
        <f aca="false">IF(SUMIFS(Выработка!$F$5:$F$254,Выработка!$C$5:$C$254,$A13,Выработка!$A$5:$A$254,X$3)=0,"",SUMIFS(Выработка!$F$5:$F$254,Выработка!$C$5:$C$254,$A13,Выработка!$A$5:$A$254,X$3))</f>
        <v/>
      </c>
      <c r="Y13" s="15" t="str">
        <f aca="false">IF(SUMIFS(Выработка!$F$5:$F$254,Выработка!$C$5:$C$254,$A13,Выработка!$A$5:$A$254,Y$3)=0,"",SUMIFS(Выработка!$F$5:$F$254,Выработка!$C$5:$C$254,$A13,Выработка!$A$5:$A$254,Y$3))</f>
        <v/>
      </c>
      <c r="Z13" s="15" t="str">
        <f aca="false">IF(SUMIFS(Выработка!$F$5:$F$254,Выработка!$C$5:$C$254,$A13,Выработка!$A$5:$A$254,Z$3)=0,"",SUMIFS(Выработка!$F$5:$F$254,Выработка!$C$5:$C$254,$A13,Выработка!$A$5:$A$254,Z$3))</f>
        <v/>
      </c>
      <c r="AA13" s="15" t="str">
        <f aca="false">IF(SUMIFS(Выработка!$F$5:$F$254,Выработка!$C$5:$C$254,$A13,Выработка!$A$5:$A$254,AA$3)=0,"",SUMIFS(Выработка!$F$5:$F$254,Выработка!$C$5:$C$254,$A13,Выработка!$A$5:$A$254,AA$3))</f>
        <v/>
      </c>
      <c r="AB13" s="15" t="str">
        <f aca="false">IF(SUMIFS(Выработка!$F$5:$F$254,Выработка!$C$5:$C$254,$A13,Выработка!$A$5:$A$254,AB$3)=0,"",SUMIFS(Выработка!$F$5:$F$254,Выработка!$C$5:$C$254,$A13,Выработка!$A$5:$A$254,AB$3))</f>
        <v/>
      </c>
      <c r="AC13" s="15" t="str">
        <f aca="false">IF(SUMIFS(Выработка!$F$5:$F$254,Выработка!$C$5:$C$254,$A13,Выработка!$A$5:$A$254,AC$3)=0,"",SUMIFS(Выработка!$F$5:$F$254,Выработка!$C$5:$C$254,$A13,Выработка!$A$5:$A$254,AC$3))</f>
        <v/>
      </c>
      <c r="AD13" s="15" t="str">
        <f aca="false">IF(SUMIFS(Выработка!$F$5:$F$254,Выработка!$C$5:$C$254,$A13,Выработка!$A$5:$A$254,AD$3)=0,"",SUMIFS(Выработка!$F$5:$F$254,Выработка!$C$5:$C$254,$A13,Выработка!$A$5:$A$254,AD$3))</f>
        <v/>
      </c>
      <c r="AE13" s="15" t="str">
        <f aca="false">IF(SUMIFS(Выработка!$F$5:$F$254,Выработка!$C$5:$C$254,$A13,Выработка!$A$5:$A$254,AE$3)=0,"",SUMIFS(Выработка!$F$5:$F$254,Выработка!$C$5:$C$254,$A13,Выработка!$A$5:$A$254,AE$3))</f>
        <v/>
      </c>
      <c r="AF13" s="15" t="str">
        <f aca="false">IF(SUMIFS(Выработка!$F$5:$F$254,Выработка!$C$5:$C$254,$A13,Выработка!$A$5:$A$254,AF$3)=0,"",SUMIFS(Выработка!$F$5:$F$254,Выработка!$C$5:$C$254,$A13,Выработка!$A$5:$A$254,AF$3))</f>
        <v/>
      </c>
      <c r="AG13" s="15" t="n">
        <f aca="false">SUM(C13:AF13)</f>
        <v>277</v>
      </c>
    </row>
    <row r="14" customFormat="false" ht="15" hidden="false" customHeight="false" outlineLevel="0" collapsed="false">
      <c r="A14" s="14" t="s">
        <v>18</v>
      </c>
      <c r="B14" s="15" t="n">
        <f aca="false">SUMIF(Выработка!$C$5:$C$254,$A14,Выработка!$F$5:$F$254)</f>
        <v>464</v>
      </c>
      <c r="C14" s="15" t="str">
        <f aca="false">IF(SUMIFS(Выработка!$F$5:$F$254,Выработка!$C$5:$C$254,$A14,Выработка!$A$5:$A$254,C$3)=0,"",SUMIFS(Выработка!$F$5:$F$254,Выработка!$C$5:$C$254,$A14,Выработка!$A$5:$A$254,C$3))</f>
        <v/>
      </c>
      <c r="D14" s="15" t="str">
        <f aca="false">IF(SUMIFS(Выработка!$F$5:$F$254,Выработка!$C$5:$C$254,$A14,Выработка!$A$5:$A$254,D$3)=0,"",SUMIFS(Выработка!$F$5:$F$254,Выработка!$C$5:$C$254,$A14,Выработка!$A$5:$A$254,D$3))</f>
        <v/>
      </c>
      <c r="E14" s="15" t="str">
        <f aca="false">IF(SUMIFS(Выработка!$F$5:$F$254,Выработка!$C$5:$C$254,$A14,Выработка!$A$5:$A$254,E$3)=0,"",SUMIFS(Выработка!$F$5:$F$254,Выработка!$C$5:$C$254,$A14,Выработка!$A$5:$A$254,E$3))</f>
        <v/>
      </c>
      <c r="F14" s="15" t="str">
        <f aca="false">IF(SUMIFS(Выработка!$F$5:$F$254,Выработка!$C$5:$C$254,$A14,Выработка!$A$5:$A$254,F$3)=0,"",SUMIFS(Выработка!$F$5:$F$254,Выработка!$C$5:$C$254,$A14,Выработка!$A$5:$A$254,F$3))</f>
        <v/>
      </c>
      <c r="G14" s="15" t="str">
        <f aca="false">IF(SUMIFS(Выработка!$F$5:$F$254,Выработка!$C$5:$C$254,$A14,Выработка!$A$5:$A$254,G$3)=0,"",SUMIFS(Выработка!$F$5:$F$254,Выработка!$C$5:$C$254,$A14,Выработка!$A$5:$A$254,G$3))</f>
        <v/>
      </c>
      <c r="H14" s="15" t="str">
        <f aca="false">IF(SUMIFS(Выработка!$F$5:$F$254,Выработка!$C$5:$C$254,$A14,Выработка!$A$5:$A$254,H$3)=0,"",SUMIFS(Выработка!$F$5:$F$254,Выработка!$C$5:$C$254,$A14,Выработка!$A$5:$A$254,H$3))</f>
        <v/>
      </c>
      <c r="I14" s="15" t="str">
        <f aca="false">IF(SUMIFS(Выработка!$F$5:$F$254,Выработка!$C$5:$C$254,$A14,Выработка!$A$5:$A$254,I$3)=0,"",SUMIFS(Выработка!$F$5:$F$254,Выработка!$C$5:$C$254,$A14,Выработка!$A$5:$A$254,I$3))</f>
        <v/>
      </c>
      <c r="J14" s="15" t="str">
        <f aca="false">IF(SUMIFS(Выработка!$F$5:$F$254,Выработка!$C$5:$C$254,$A14,Выработка!$A$5:$A$254,J$3)=0,"",SUMIFS(Выработка!$F$5:$F$254,Выработка!$C$5:$C$254,$A14,Выработка!$A$5:$A$254,J$3))</f>
        <v/>
      </c>
      <c r="K14" s="15" t="str">
        <f aca="false">IF(SUMIFS(Выработка!$F$5:$F$254,Выработка!$C$5:$C$254,$A14,Выработка!$A$5:$A$254,K$3)=0,"",SUMIFS(Выработка!$F$5:$F$254,Выработка!$C$5:$C$254,$A14,Выработка!$A$5:$A$254,K$3))</f>
        <v/>
      </c>
      <c r="L14" s="15" t="str">
        <f aca="false">IF(SUMIFS(Выработка!$F$5:$F$254,Выработка!$C$5:$C$254,$A14,Выработка!$A$5:$A$254,L$3)=0,"",SUMIFS(Выработка!$F$5:$F$254,Выработка!$C$5:$C$254,$A14,Выработка!$A$5:$A$254,L$3))</f>
        <v/>
      </c>
      <c r="M14" s="15" t="str">
        <f aca="false">IF(SUMIFS(Выработка!$F$5:$F$254,Выработка!$C$5:$C$254,$A14,Выработка!$A$5:$A$254,M$3)=0,"",SUMIFS(Выработка!$F$5:$F$254,Выработка!$C$5:$C$254,$A14,Выработка!$A$5:$A$254,M$3))</f>
        <v/>
      </c>
      <c r="N14" s="15" t="str">
        <f aca="false">IF(SUMIFS(Выработка!$F$5:$F$254,Выработка!$C$5:$C$254,$A14,Выработка!$A$5:$A$254,N$3)=0,"",SUMIFS(Выработка!$F$5:$F$254,Выработка!$C$5:$C$254,$A14,Выработка!$A$5:$A$254,N$3))</f>
        <v/>
      </c>
      <c r="O14" s="15" t="str">
        <f aca="false">IF(SUMIFS(Выработка!$F$5:$F$254,Выработка!$C$5:$C$254,$A14,Выработка!$A$5:$A$254,O$3)=0,"",SUMIFS(Выработка!$F$5:$F$254,Выработка!$C$5:$C$254,$A14,Выработка!$A$5:$A$254,O$3))</f>
        <v/>
      </c>
      <c r="P14" s="15" t="str">
        <f aca="false">IF(SUMIFS(Выработка!$F$5:$F$254,Выработка!$C$5:$C$254,$A14,Выработка!$A$5:$A$254,P$3)=0,"",SUMIFS(Выработка!$F$5:$F$254,Выработка!$C$5:$C$254,$A14,Выработка!$A$5:$A$254,P$3))</f>
        <v/>
      </c>
      <c r="Q14" s="15" t="str">
        <f aca="false">IF(SUMIFS(Выработка!$F$5:$F$254,Выработка!$C$5:$C$254,$A14,Выработка!$A$5:$A$254,Q$3)=0,"",SUMIFS(Выработка!$F$5:$F$254,Выработка!$C$5:$C$254,$A14,Выработка!$A$5:$A$254,Q$3))</f>
        <v/>
      </c>
      <c r="R14" s="15" t="n">
        <f aca="false">IF(SUMIFS(Выработка!$F$5:$F$254,Выработка!$C$5:$C$254,$A14,Выработка!$A$5:$A$254,R$3)=0,"",SUMIFS(Выработка!$F$5:$F$254,Выработка!$C$5:$C$254,$A14,Выработка!$A$5:$A$254,R$3))</f>
        <v>17</v>
      </c>
      <c r="S14" s="15" t="n">
        <f aca="false">IF(SUMIFS(Выработка!$F$5:$F$254,Выработка!$C$5:$C$254,$A14,Выработка!$A$5:$A$254,S$3)=0,"",SUMIFS(Выработка!$F$5:$F$254,Выработка!$C$5:$C$254,$A14,Выработка!$A$5:$A$254,S$3))</f>
        <v>2</v>
      </c>
      <c r="T14" s="15" t="n">
        <f aca="false">IF(SUMIFS(Выработка!$F$5:$F$254,Выработка!$C$5:$C$254,$A14,Выработка!$A$5:$A$254,T$3)=0,"",SUMIFS(Выработка!$F$5:$F$254,Выработка!$C$5:$C$254,$A14,Выработка!$A$5:$A$254,T$3))</f>
        <v>58</v>
      </c>
      <c r="U14" s="15" t="n">
        <f aca="false">IF(SUMIFS(Выработка!$F$5:$F$254,Выработка!$C$5:$C$254,$A14,Выработка!$A$5:$A$254,U$3)=0,"",SUMIFS(Выработка!$F$5:$F$254,Выработка!$C$5:$C$254,$A14,Выработка!$A$5:$A$254,U$3))</f>
        <v>112</v>
      </c>
      <c r="V14" s="15" t="str">
        <f aca="false">IF(SUMIFS(Выработка!$F$5:$F$254,Выработка!$C$5:$C$254,$A14,Выработка!$A$5:$A$254,V$3)=0,"",SUMIFS(Выработка!$F$5:$F$254,Выработка!$C$5:$C$254,$A14,Выработка!$A$5:$A$254,V$3))</f>
        <v/>
      </c>
      <c r="W14" s="15" t="str">
        <f aca="false">IF(SUMIFS(Выработка!$F$5:$F$254,Выработка!$C$5:$C$254,$A14,Выработка!$A$5:$A$254,W$3)=0,"",SUMIFS(Выработка!$F$5:$F$254,Выработка!$C$5:$C$254,$A14,Выработка!$A$5:$A$254,W$3))</f>
        <v/>
      </c>
      <c r="X14" s="15" t="n">
        <f aca="false">IF(SUMIFS(Выработка!$F$5:$F$254,Выработка!$C$5:$C$254,$A14,Выработка!$A$5:$A$254,X$3)=0,"",SUMIFS(Выработка!$F$5:$F$254,Выработка!$C$5:$C$254,$A14,Выработка!$A$5:$A$254,X$3))</f>
        <v>71</v>
      </c>
      <c r="Y14" s="15" t="str">
        <f aca="false">IF(SUMIFS(Выработка!$F$5:$F$254,Выработка!$C$5:$C$254,$A14,Выработка!$A$5:$A$254,Y$3)=0,"",SUMIFS(Выработка!$F$5:$F$254,Выработка!$C$5:$C$254,$A14,Выработка!$A$5:$A$254,Y$3))</f>
        <v/>
      </c>
      <c r="Z14" s="15" t="str">
        <f aca="false">IF(SUMIFS(Выработка!$F$5:$F$254,Выработка!$C$5:$C$254,$A14,Выработка!$A$5:$A$254,Z$3)=0,"",SUMIFS(Выработка!$F$5:$F$254,Выработка!$C$5:$C$254,$A14,Выработка!$A$5:$A$254,Z$3))</f>
        <v/>
      </c>
      <c r="AA14" s="15" t="n">
        <f aca="false">IF(SUMIFS(Выработка!$F$5:$F$254,Выработка!$C$5:$C$254,$A14,Выработка!$A$5:$A$254,AA$3)=0,"",SUMIFS(Выработка!$F$5:$F$254,Выработка!$C$5:$C$254,$A14,Выработка!$A$5:$A$254,AA$3))</f>
        <v>77</v>
      </c>
      <c r="AB14" s="15" t="str">
        <f aca="false">IF(SUMIFS(Выработка!$F$5:$F$254,Выработка!$C$5:$C$254,$A14,Выработка!$A$5:$A$254,AB$3)=0,"",SUMIFS(Выработка!$F$5:$F$254,Выработка!$C$5:$C$254,$A14,Выработка!$A$5:$A$254,AB$3))</f>
        <v/>
      </c>
      <c r="AC14" s="15" t="str">
        <f aca="false">IF(SUMIFS(Выработка!$F$5:$F$254,Выработка!$C$5:$C$254,$A14,Выработка!$A$5:$A$254,AC$3)=0,"",SUMIFS(Выработка!$F$5:$F$254,Выработка!$C$5:$C$254,$A14,Выработка!$A$5:$A$254,AC$3))</f>
        <v/>
      </c>
      <c r="AD14" s="15" t="n">
        <f aca="false">IF(SUMIFS(Выработка!$F$5:$F$254,Выработка!$C$5:$C$254,$A14,Выработка!$A$5:$A$254,AD$3)=0,"",SUMIFS(Выработка!$F$5:$F$254,Выработка!$C$5:$C$254,$A14,Выработка!$A$5:$A$254,AD$3))</f>
        <v>38</v>
      </c>
      <c r="AE14" s="15" t="n">
        <f aca="false">IF(SUMIFS(Выработка!$F$5:$F$254,Выработка!$C$5:$C$254,$A14,Выработка!$A$5:$A$254,AE$3)=0,"",SUMIFS(Выработка!$F$5:$F$254,Выработка!$C$5:$C$254,$A14,Выработка!$A$5:$A$254,AE$3))</f>
        <v>39</v>
      </c>
      <c r="AF14" s="15" t="n">
        <f aca="false">IF(SUMIFS(Выработка!$F$5:$F$254,Выработка!$C$5:$C$254,$A14,Выработка!$A$5:$A$254,AF$3)=0,"",SUMIFS(Выработка!$F$5:$F$254,Выработка!$C$5:$C$254,$A14,Выработка!$A$5:$A$254,AF$3))</f>
        <v>50</v>
      </c>
      <c r="AG14" s="15" t="n">
        <f aca="false">SUM(C14:AF14)</f>
        <v>464</v>
      </c>
    </row>
    <row r="15" customFormat="false" ht="15" hidden="false" customHeight="false" outlineLevel="0" collapsed="false">
      <c r="A15" s="14" t="s">
        <v>19</v>
      </c>
      <c r="B15" s="15" t="n">
        <f aca="false">SUMIF(Выработка!$C$5:$C$254,$A15,Выработка!$F$5:$F$254)</f>
        <v>111</v>
      </c>
      <c r="C15" s="15" t="str">
        <f aca="false">IF(SUMIFS(Выработка!$F$5:$F$254,Выработка!$C$5:$C$254,$A15,Выработка!$A$5:$A$254,C$3)=0,"",SUMIFS(Выработка!$F$5:$F$254,Выработка!$C$5:$C$254,$A15,Выработка!$A$5:$A$254,C$3))</f>
        <v/>
      </c>
      <c r="D15" s="15" t="str">
        <f aca="false">IF(SUMIFS(Выработка!$F$5:$F$254,Выработка!$C$5:$C$254,$A15,Выработка!$A$5:$A$254,D$3)=0,"",SUMIFS(Выработка!$F$5:$F$254,Выработка!$C$5:$C$254,$A15,Выработка!$A$5:$A$254,D$3))</f>
        <v/>
      </c>
      <c r="E15" s="15" t="str">
        <f aca="false">IF(SUMIFS(Выработка!$F$5:$F$254,Выработка!$C$5:$C$254,$A15,Выработка!$A$5:$A$254,E$3)=0,"",SUMIFS(Выработка!$F$5:$F$254,Выработка!$C$5:$C$254,$A15,Выработка!$A$5:$A$254,E$3))</f>
        <v/>
      </c>
      <c r="F15" s="15" t="str">
        <f aca="false">IF(SUMIFS(Выработка!$F$5:$F$254,Выработка!$C$5:$C$254,$A15,Выработка!$A$5:$A$254,F$3)=0,"",SUMIFS(Выработка!$F$5:$F$254,Выработка!$C$5:$C$254,$A15,Выработка!$A$5:$A$254,F$3))</f>
        <v/>
      </c>
      <c r="G15" s="15" t="str">
        <f aca="false">IF(SUMIFS(Выработка!$F$5:$F$254,Выработка!$C$5:$C$254,$A15,Выработка!$A$5:$A$254,G$3)=0,"",SUMIFS(Выработка!$F$5:$F$254,Выработка!$C$5:$C$254,$A15,Выработка!$A$5:$A$254,G$3))</f>
        <v/>
      </c>
      <c r="H15" s="15" t="str">
        <f aca="false">IF(SUMIFS(Выработка!$F$5:$F$254,Выработка!$C$5:$C$254,$A15,Выработка!$A$5:$A$254,H$3)=0,"",SUMIFS(Выработка!$F$5:$F$254,Выработка!$C$5:$C$254,$A15,Выработка!$A$5:$A$254,H$3))</f>
        <v/>
      </c>
      <c r="I15" s="15" t="str">
        <f aca="false">IF(SUMIFS(Выработка!$F$5:$F$254,Выработка!$C$5:$C$254,$A15,Выработка!$A$5:$A$254,I$3)=0,"",SUMIFS(Выработка!$F$5:$F$254,Выработка!$C$5:$C$254,$A15,Выработка!$A$5:$A$254,I$3))</f>
        <v/>
      </c>
      <c r="J15" s="15" t="str">
        <f aca="false">IF(SUMIFS(Выработка!$F$5:$F$254,Выработка!$C$5:$C$254,$A15,Выработка!$A$5:$A$254,J$3)=0,"",SUMIFS(Выработка!$F$5:$F$254,Выработка!$C$5:$C$254,$A15,Выработка!$A$5:$A$254,J$3))</f>
        <v/>
      </c>
      <c r="K15" s="15" t="str">
        <f aca="false">IF(SUMIFS(Выработка!$F$5:$F$254,Выработка!$C$5:$C$254,$A15,Выработка!$A$5:$A$254,K$3)=0,"",SUMIFS(Выработка!$F$5:$F$254,Выработка!$C$5:$C$254,$A15,Выработка!$A$5:$A$254,K$3))</f>
        <v/>
      </c>
      <c r="L15" s="15" t="str">
        <f aca="false">IF(SUMIFS(Выработка!$F$5:$F$254,Выработка!$C$5:$C$254,$A15,Выработка!$A$5:$A$254,L$3)=0,"",SUMIFS(Выработка!$F$5:$F$254,Выработка!$C$5:$C$254,$A15,Выработка!$A$5:$A$254,L$3))</f>
        <v/>
      </c>
      <c r="M15" s="15" t="str">
        <f aca="false">IF(SUMIFS(Выработка!$F$5:$F$254,Выработка!$C$5:$C$254,$A15,Выработка!$A$5:$A$254,M$3)=0,"",SUMIFS(Выработка!$F$5:$F$254,Выработка!$C$5:$C$254,$A15,Выработка!$A$5:$A$254,M$3))</f>
        <v/>
      </c>
      <c r="N15" s="15" t="str">
        <f aca="false">IF(SUMIFS(Выработка!$F$5:$F$254,Выработка!$C$5:$C$254,$A15,Выработка!$A$5:$A$254,N$3)=0,"",SUMIFS(Выработка!$F$5:$F$254,Выработка!$C$5:$C$254,$A15,Выработка!$A$5:$A$254,N$3))</f>
        <v/>
      </c>
      <c r="O15" s="15" t="str">
        <f aca="false">IF(SUMIFS(Выработка!$F$5:$F$254,Выработка!$C$5:$C$254,$A15,Выработка!$A$5:$A$254,O$3)=0,"",SUMIFS(Выработка!$F$5:$F$254,Выработка!$C$5:$C$254,$A15,Выработка!$A$5:$A$254,O$3))</f>
        <v/>
      </c>
      <c r="P15" s="15" t="str">
        <f aca="false">IF(SUMIFS(Выработка!$F$5:$F$254,Выработка!$C$5:$C$254,$A15,Выработка!$A$5:$A$254,P$3)=0,"",SUMIFS(Выработка!$F$5:$F$254,Выработка!$C$5:$C$254,$A15,Выработка!$A$5:$A$254,P$3))</f>
        <v/>
      </c>
      <c r="Q15" s="15" t="str">
        <f aca="false">IF(SUMIFS(Выработка!$F$5:$F$254,Выработка!$C$5:$C$254,$A15,Выработка!$A$5:$A$254,Q$3)=0,"",SUMIFS(Выработка!$F$5:$F$254,Выработка!$C$5:$C$254,$A15,Выработка!$A$5:$A$254,Q$3))</f>
        <v/>
      </c>
      <c r="R15" s="15" t="str">
        <f aca="false">IF(SUMIFS(Выработка!$F$5:$F$254,Выработка!$C$5:$C$254,$A15,Выработка!$A$5:$A$254,R$3)=0,"",SUMIFS(Выработка!$F$5:$F$254,Выработка!$C$5:$C$254,$A15,Выработка!$A$5:$A$254,R$3))</f>
        <v/>
      </c>
      <c r="S15" s="15" t="str">
        <f aca="false">IF(SUMIFS(Выработка!$F$5:$F$254,Выработка!$C$5:$C$254,$A15,Выработка!$A$5:$A$254,S$3)=0,"",SUMIFS(Выработка!$F$5:$F$254,Выработка!$C$5:$C$254,$A15,Выработка!$A$5:$A$254,S$3))</f>
        <v/>
      </c>
      <c r="T15" s="15" t="str">
        <f aca="false">IF(SUMIFS(Выработка!$F$5:$F$254,Выработка!$C$5:$C$254,$A15,Выработка!$A$5:$A$254,T$3)=0,"",SUMIFS(Выработка!$F$5:$F$254,Выработка!$C$5:$C$254,$A15,Выработка!$A$5:$A$254,T$3))</f>
        <v/>
      </c>
      <c r="U15" s="15" t="str">
        <f aca="false">IF(SUMIFS(Выработка!$F$5:$F$254,Выработка!$C$5:$C$254,$A15,Выработка!$A$5:$A$254,U$3)=0,"",SUMIFS(Выработка!$F$5:$F$254,Выработка!$C$5:$C$254,$A15,Выработка!$A$5:$A$254,U$3))</f>
        <v/>
      </c>
      <c r="V15" s="15" t="str">
        <f aca="false">IF(SUMIFS(Выработка!$F$5:$F$254,Выработка!$C$5:$C$254,$A15,Выработка!$A$5:$A$254,V$3)=0,"",SUMIFS(Выработка!$F$5:$F$254,Выработка!$C$5:$C$254,$A15,Выработка!$A$5:$A$254,V$3))</f>
        <v/>
      </c>
      <c r="W15" s="15" t="str">
        <f aca="false">IF(SUMIFS(Выработка!$F$5:$F$254,Выработка!$C$5:$C$254,$A15,Выработка!$A$5:$A$254,W$3)=0,"",SUMIFS(Выработка!$F$5:$F$254,Выработка!$C$5:$C$254,$A15,Выработка!$A$5:$A$254,W$3))</f>
        <v/>
      </c>
      <c r="X15" s="15" t="str">
        <f aca="false">IF(SUMIFS(Выработка!$F$5:$F$254,Выработка!$C$5:$C$254,$A15,Выработка!$A$5:$A$254,X$3)=0,"",SUMIFS(Выработка!$F$5:$F$254,Выработка!$C$5:$C$254,$A15,Выработка!$A$5:$A$254,X$3))</f>
        <v/>
      </c>
      <c r="Y15" s="15" t="str">
        <f aca="false">IF(SUMIFS(Выработка!$F$5:$F$254,Выработка!$C$5:$C$254,$A15,Выработка!$A$5:$A$254,Y$3)=0,"",SUMIFS(Выработка!$F$5:$F$254,Выработка!$C$5:$C$254,$A15,Выработка!$A$5:$A$254,Y$3))</f>
        <v/>
      </c>
      <c r="Z15" s="15" t="str">
        <f aca="false">IF(SUMIFS(Выработка!$F$5:$F$254,Выработка!$C$5:$C$254,$A15,Выработка!$A$5:$A$254,Z$3)=0,"",SUMIFS(Выработка!$F$5:$F$254,Выработка!$C$5:$C$254,$A15,Выработка!$A$5:$A$254,Z$3))</f>
        <v/>
      </c>
      <c r="AA15" s="15" t="str">
        <f aca="false">IF(SUMIFS(Выработка!$F$5:$F$254,Выработка!$C$5:$C$254,$A15,Выработка!$A$5:$A$254,AA$3)=0,"",SUMIFS(Выработка!$F$5:$F$254,Выработка!$C$5:$C$254,$A15,Выработка!$A$5:$A$254,AA$3))</f>
        <v/>
      </c>
      <c r="AB15" s="15" t="str">
        <f aca="false">IF(SUMIFS(Выработка!$F$5:$F$254,Выработка!$C$5:$C$254,$A15,Выработка!$A$5:$A$254,AB$3)=0,"",SUMIFS(Выработка!$F$5:$F$254,Выработка!$C$5:$C$254,$A15,Выработка!$A$5:$A$254,AB$3))</f>
        <v/>
      </c>
      <c r="AC15" s="15" t="str">
        <f aca="false">IF(SUMIFS(Выработка!$F$5:$F$254,Выработка!$C$5:$C$254,$A15,Выработка!$A$5:$A$254,AC$3)=0,"",SUMIFS(Выработка!$F$5:$F$254,Выработка!$C$5:$C$254,$A15,Выработка!$A$5:$A$254,AC$3))</f>
        <v/>
      </c>
      <c r="AD15" s="15" t="str">
        <f aca="false">IF(SUMIFS(Выработка!$F$5:$F$254,Выработка!$C$5:$C$254,$A15,Выработка!$A$5:$A$254,AD$3)=0,"",SUMIFS(Выработка!$F$5:$F$254,Выработка!$C$5:$C$254,$A15,Выработка!$A$5:$A$254,AD$3))</f>
        <v/>
      </c>
      <c r="AE15" s="15" t="str">
        <f aca="false">IF(SUMIFS(Выработка!$F$5:$F$254,Выработка!$C$5:$C$254,$A15,Выработка!$A$5:$A$254,AE$3)=0,"",SUMIFS(Выработка!$F$5:$F$254,Выработка!$C$5:$C$254,$A15,Выработка!$A$5:$A$254,AE$3))</f>
        <v/>
      </c>
      <c r="AF15" s="15" t="str">
        <f aca="false">IF(SUMIFS(Выработка!$F$5:$F$254,Выработка!$C$5:$C$254,$A15,Выработка!$A$5:$A$254,AF$3)=0,"",SUMIFS(Выработка!$F$5:$F$254,Выработка!$C$5:$C$254,$A15,Выработка!$A$5:$A$254,AF$3))</f>
        <v/>
      </c>
      <c r="AG15" s="15" t="n">
        <f aca="false">SUM(C15:AF15)</f>
        <v>0</v>
      </c>
    </row>
    <row r="16" customFormat="false" ht="15" hidden="false" customHeight="false" outlineLevel="0" collapsed="false">
      <c r="A16" s="14" t="s">
        <v>20</v>
      </c>
      <c r="B16" s="15" t="n">
        <f aca="false">SUMIF(Выработка!$C$5:$C$254,$A16,Выработка!$F$5:$F$254)</f>
        <v>203</v>
      </c>
      <c r="C16" s="15" t="str">
        <f aca="false">IF(SUMIFS(Выработка!$F$5:$F$254,Выработка!$C$5:$C$254,$A16,Выработка!$A$5:$A$254,C$3)=0,"",SUMIFS(Выработка!$F$5:$F$254,Выработка!$C$5:$C$254,$A16,Выработка!$A$5:$A$254,C$3))</f>
        <v/>
      </c>
      <c r="D16" s="15" t="str">
        <f aca="false">IF(SUMIFS(Выработка!$F$5:$F$254,Выработка!$C$5:$C$254,$A16,Выработка!$A$5:$A$254,D$3)=0,"",SUMIFS(Выработка!$F$5:$F$254,Выработка!$C$5:$C$254,$A16,Выработка!$A$5:$A$254,D$3))</f>
        <v/>
      </c>
      <c r="E16" s="15" t="str">
        <f aca="false">IF(SUMIFS(Выработка!$F$5:$F$254,Выработка!$C$5:$C$254,$A16,Выработка!$A$5:$A$254,E$3)=0,"",SUMIFS(Выработка!$F$5:$F$254,Выработка!$C$5:$C$254,$A16,Выработка!$A$5:$A$254,E$3))</f>
        <v/>
      </c>
      <c r="F16" s="15" t="str">
        <f aca="false">IF(SUMIFS(Выработка!$F$5:$F$254,Выработка!$C$5:$C$254,$A16,Выработка!$A$5:$A$254,F$3)=0,"",SUMIFS(Выработка!$F$5:$F$254,Выработка!$C$5:$C$254,$A16,Выработка!$A$5:$A$254,F$3))</f>
        <v/>
      </c>
      <c r="G16" s="15" t="str">
        <f aca="false">IF(SUMIFS(Выработка!$F$5:$F$254,Выработка!$C$5:$C$254,$A16,Выработка!$A$5:$A$254,G$3)=0,"",SUMIFS(Выработка!$F$5:$F$254,Выработка!$C$5:$C$254,$A16,Выработка!$A$5:$A$254,G$3))</f>
        <v/>
      </c>
      <c r="H16" s="15" t="str">
        <f aca="false">IF(SUMIFS(Выработка!$F$5:$F$254,Выработка!$C$5:$C$254,$A16,Выработка!$A$5:$A$254,H$3)=0,"",SUMIFS(Выработка!$F$5:$F$254,Выработка!$C$5:$C$254,$A16,Выработка!$A$5:$A$254,H$3))</f>
        <v/>
      </c>
      <c r="I16" s="15" t="str">
        <f aca="false">IF(SUMIFS(Выработка!$F$5:$F$254,Выработка!$C$5:$C$254,$A16,Выработка!$A$5:$A$254,I$3)=0,"",SUMIFS(Выработка!$F$5:$F$254,Выработка!$C$5:$C$254,$A16,Выработка!$A$5:$A$254,I$3))</f>
        <v/>
      </c>
      <c r="J16" s="15" t="str">
        <f aca="false">IF(SUMIFS(Выработка!$F$5:$F$254,Выработка!$C$5:$C$254,$A16,Выработка!$A$5:$A$254,J$3)=0,"",SUMIFS(Выработка!$F$5:$F$254,Выработка!$C$5:$C$254,$A16,Выработка!$A$5:$A$254,J$3))</f>
        <v/>
      </c>
      <c r="K16" s="15" t="str">
        <f aca="false">IF(SUMIFS(Выработка!$F$5:$F$254,Выработка!$C$5:$C$254,$A16,Выработка!$A$5:$A$254,K$3)=0,"",SUMIFS(Выработка!$F$5:$F$254,Выработка!$C$5:$C$254,$A16,Выработка!$A$5:$A$254,K$3))</f>
        <v/>
      </c>
      <c r="L16" s="15" t="str">
        <f aca="false">IF(SUMIFS(Выработка!$F$5:$F$254,Выработка!$C$5:$C$254,$A16,Выработка!$A$5:$A$254,L$3)=0,"",SUMIFS(Выработка!$F$5:$F$254,Выработка!$C$5:$C$254,$A16,Выработка!$A$5:$A$254,L$3))</f>
        <v/>
      </c>
      <c r="M16" s="15" t="str">
        <f aca="false">IF(SUMIFS(Выработка!$F$5:$F$254,Выработка!$C$5:$C$254,$A16,Выработка!$A$5:$A$254,M$3)=0,"",SUMIFS(Выработка!$F$5:$F$254,Выработка!$C$5:$C$254,$A16,Выработка!$A$5:$A$254,M$3))</f>
        <v/>
      </c>
      <c r="N16" s="15" t="str">
        <f aca="false">IF(SUMIFS(Выработка!$F$5:$F$254,Выработка!$C$5:$C$254,$A16,Выработка!$A$5:$A$254,N$3)=0,"",SUMIFS(Выработка!$F$5:$F$254,Выработка!$C$5:$C$254,$A16,Выработка!$A$5:$A$254,N$3))</f>
        <v/>
      </c>
      <c r="O16" s="15" t="n">
        <f aca="false">IF(SUMIFS(Выработка!$F$5:$F$254,Выработка!$C$5:$C$254,$A16,Выработка!$A$5:$A$254,O$3)=0,"",SUMIFS(Выработка!$F$5:$F$254,Выработка!$C$5:$C$254,$A16,Выработка!$A$5:$A$254,O$3))</f>
        <v>54</v>
      </c>
      <c r="P16" s="15" t="str">
        <f aca="false">IF(SUMIFS(Выработка!$F$5:$F$254,Выработка!$C$5:$C$254,$A16,Выработка!$A$5:$A$254,P$3)=0,"",SUMIFS(Выработка!$F$5:$F$254,Выработка!$C$5:$C$254,$A16,Выработка!$A$5:$A$254,P$3))</f>
        <v/>
      </c>
      <c r="Q16" s="15" t="str">
        <f aca="false">IF(SUMIFS(Выработка!$F$5:$F$254,Выработка!$C$5:$C$254,$A16,Выработка!$A$5:$A$254,Q$3)=0,"",SUMIFS(Выработка!$F$5:$F$254,Выработка!$C$5:$C$254,$A16,Выработка!$A$5:$A$254,Q$3))</f>
        <v/>
      </c>
      <c r="R16" s="15" t="str">
        <f aca="false">IF(SUMIFS(Выработка!$F$5:$F$254,Выработка!$C$5:$C$254,$A16,Выработка!$A$5:$A$254,R$3)=0,"",SUMIFS(Выработка!$F$5:$F$254,Выработка!$C$5:$C$254,$A16,Выработка!$A$5:$A$254,R$3))</f>
        <v/>
      </c>
      <c r="S16" s="15" t="str">
        <f aca="false">IF(SUMIFS(Выработка!$F$5:$F$254,Выработка!$C$5:$C$254,$A16,Выработка!$A$5:$A$254,S$3)=0,"",SUMIFS(Выработка!$F$5:$F$254,Выработка!$C$5:$C$254,$A16,Выработка!$A$5:$A$254,S$3))</f>
        <v/>
      </c>
      <c r="T16" s="15" t="str">
        <f aca="false">IF(SUMIFS(Выработка!$F$5:$F$254,Выработка!$C$5:$C$254,$A16,Выработка!$A$5:$A$254,T$3)=0,"",SUMIFS(Выработка!$F$5:$F$254,Выработка!$C$5:$C$254,$A16,Выработка!$A$5:$A$254,T$3))</f>
        <v/>
      </c>
      <c r="U16" s="15" t="n">
        <f aca="false">IF(SUMIFS(Выработка!$F$5:$F$254,Выработка!$C$5:$C$254,$A16,Выработка!$A$5:$A$254,U$3)=0,"",SUMIFS(Выработка!$F$5:$F$254,Выработка!$C$5:$C$254,$A16,Выработка!$A$5:$A$254,U$3))</f>
        <v>20</v>
      </c>
      <c r="V16" s="15" t="str">
        <f aca="false">IF(SUMIFS(Выработка!$F$5:$F$254,Выработка!$C$5:$C$254,$A16,Выработка!$A$5:$A$254,V$3)=0,"",SUMIFS(Выработка!$F$5:$F$254,Выработка!$C$5:$C$254,$A16,Выработка!$A$5:$A$254,V$3))</f>
        <v/>
      </c>
      <c r="W16" s="15" t="n">
        <f aca="false">IF(SUMIFS(Выработка!$F$5:$F$254,Выработка!$C$5:$C$254,$A16,Выработка!$A$5:$A$254,W$3)=0,"",SUMIFS(Выработка!$F$5:$F$254,Выработка!$C$5:$C$254,$A16,Выработка!$A$5:$A$254,W$3))</f>
        <v>26</v>
      </c>
      <c r="X16" s="15" t="str">
        <f aca="false">IF(SUMIFS(Выработка!$F$5:$F$254,Выработка!$C$5:$C$254,$A16,Выработка!$A$5:$A$254,X$3)=0,"",SUMIFS(Выработка!$F$5:$F$254,Выработка!$C$5:$C$254,$A16,Выработка!$A$5:$A$254,X$3))</f>
        <v/>
      </c>
      <c r="Y16" s="15" t="str">
        <f aca="false">IF(SUMIFS(Выработка!$F$5:$F$254,Выработка!$C$5:$C$254,$A16,Выработка!$A$5:$A$254,Y$3)=0,"",SUMIFS(Выработка!$F$5:$F$254,Выработка!$C$5:$C$254,$A16,Выработка!$A$5:$A$254,Y$3))</f>
        <v/>
      </c>
      <c r="Z16" s="15" t="str">
        <f aca="false">IF(SUMIFS(Выработка!$F$5:$F$254,Выработка!$C$5:$C$254,$A16,Выработка!$A$5:$A$254,Z$3)=0,"",SUMIFS(Выработка!$F$5:$F$254,Выработка!$C$5:$C$254,$A16,Выработка!$A$5:$A$254,Z$3))</f>
        <v/>
      </c>
      <c r="AA16" s="15" t="str">
        <f aca="false">IF(SUMIFS(Выработка!$F$5:$F$254,Выработка!$C$5:$C$254,$A16,Выработка!$A$5:$A$254,AA$3)=0,"",SUMIFS(Выработка!$F$5:$F$254,Выработка!$C$5:$C$254,$A16,Выработка!$A$5:$A$254,AA$3))</f>
        <v/>
      </c>
      <c r="AB16" s="15" t="str">
        <f aca="false">IF(SUMIFS(Выработка!$F$5:$F$254,Выработка!$C$5:$C$254,$A16,Выработка!$A$5:$A$254,AB$3)=0,"",SUMIFS(Выработка!$F$5:$F$254,Выработка!$C$5:$C$254,$A16,Выработка!$A$5:$A$254,AB$3))</f>
        <v/>
      </c>
      <c r="AC16" s="15" t="str">
        <f aca="false">IF(SUMIFS(Выработка!$F$5:$F$254,Выработка!$C$5:$C$254,$A16,Выработка!$A$5:$A$254,AC$3)=0,"",SUMIFS(Выработка!$F$5:$F$254,Выработка!$C$5:$C$254,$A16,Выработка!$A$5:$A$254,AC$3))</f>
        <v/>
      </c>
      <c r="AD16" s="15" t="str">
        <f aca="false">IF(SUMIFS(Выработка!$F$5:$F$254,Выработка!$C$5:$C$254,$A16,Выработка!$A$5:$A$254,AD$3)=0,"",SUMIFS(Выработка!$F$5:$F$254,Выработка!$C$5:$C$254,$A16,Выработка!$A$5:$A$254,AD$3))</f>
        <v/>
      </c>
      <c r="AE16" s="15" t="str">
        <f aca="false">IF(SUMIFS(Выработка!$F$5:$F$254,Выработка!$C$5:$C$254,$A16,Выработка!$A$5:$A$254,AE$3)=0,"",SUMIFS(Выработка!$F$5:$F$254,Выработка!$C$5:$C$254,$A16,Выработка!$A$5:$A$254,AE$3))</f>
        <v/>
      </c>
      <c r="AF16" s="15" t="str">
        <f aca="false">IF(SUMIFS(Выработка!$F$5:$F$254,Выработка!$C$5:$C$254,$A16,Выработка!$A$5:$A$254,AF$3)=0,"",SUMIFS(Выработка!$F$5:$F$254,Выработка!$C$5:$C$254,$A16,Выработка!$A$5:$A$254,AF$3))</f>
        <v/>
      </c>
      <c r="AG16" s="15" t="n">
        <f aca="false">SUM(C16:AF16)</f>
        <v>100</v>
      </c>
    </row>
    <row r="17" customFormat="false" ht="15" hidden="false" customHeight="false" outlineLevel="0" collapsed="false">
      <c r="A17" s="14" t="s">
        <v>21</v>
      </c>
      <c r="B17" s="15" t="n">
        <f aca="false">SUMIF(Выработка!$C$5:$C$254,$A17,Выработка!$F$5:$F$254)</f>
        <v>207</v>
      </c>
      <c r="C17" s="15" t="str">
        <f aca="false">IF(SUMIFS(Выработка!$F$5:$F$254,Выработка!$C$5:$C$254,$A17,Выработка!$A$5:$A$254,C$3)=0,"",SUMIFS(Выработка!$F$5:$F$254,Выработка!$C$5:$C$254,$A17,Выработка!$A$5:$A$254,C$3))</f>
        <v/>
      </c>
      <c r="D17" s="15" t="str">
        <f aca="false">IF(SUMIFS(Выработка!$F$5:$F$254,Выработка!$C$5:$C$254,$A17,Выработка!$A$5:$A$254,D$3)=0,"",SUMIFS(Выработка!$F$5:$F$254,Выработка!$C$5:$C$254,$A17,Выработка!$A$5:$A$254,D$3))</f>
        <v/>
      </c>
      <c r="E17" s="15" t="str">
        <f aca="false">IF(SUMIFS(Выработка!$F$5:$F$254,Выработка!$C$5:$C$254,$A17,Выработка!$A$5:$A$254,E$3)=0,"",SUMIFS(Выработка!$F$5:$F$254,Выработка!$C$5:$C$254,$A17,Выработка!$A$5:$A$254,E$3))</f>
        <v/>
      </c>
      <c r="F17" s="15" t="str">
        <f aca="false">IF(SUMIFS(Выработка!$F$5:$F$254,Выработка!$C$5:$C$254,$A17,Выработка!$A$5:$A$254,F$3)=0,"",SUMIFS(Выработка!$F$5:$F$254,Выработка!$C$5:$C$254,$A17,Выработка!$A$5:$A$254,F$3))</f>
        <v/>
      </c>
      <c r="G17" s="15" t="str">
        <f aca="false">IF(SUMIFS(Выработка!$F$5:$F$254,Выработка!$C$5:$C$254,$A17,Выработка!$A$5:$A$254,G$3)=0,"",SUMIFS(Выработка!$F$5:$F$254,Выработка!$C$5:$C$254,$A17,Выработка!$A$5:$A$254,G$3))</f>
        <v/>
      </c>
      <c r="H17" s="15" t="str">
        <f aca="false">IF(SUMIFS(Выработка!$F$5:$F$254,Выработка!$C$5:$C$254,$A17,Выработка!$A$5:$A$254,H$3)=0,"",SUMIFS(Выработка!$F$5:$F$254,Выработка!$C$5:$C$254,$A17,Выработка!$A$5:$A$254,H$3))</f>
        <v/>
      </c>
      <c r="I17" s="15" t="str">
        <f aca="false">IF(SUMIFS(Выработка!$F$5:$F$254,Выработка!$C$5:$C$254,$A17,Выработка!$A$5:$A$254,I$3)=0,"",SUMIFS(Выработка!$F$5:$F$254,Выработка!$C$5:$C$254,$A17,Выработка!$A$5:$A$254,I$3))</f>
        <v/>
      </c>
      <c r="J17" s="15" t="str">
        <f aca="false">IF(SUMIFS(Выработка!$F$5:$F$254,Выработка!$C$5:$C$254,$A17,Выработка!$A$5:$A$254,J$3)=0,"",SUMIFS(Выработка!$F$5:$F$254,Выработка!$C$5:$C$254,$A17,Выработка!$A$5:$A$254,J$3))</f>
        <v/>
      </c>
      <c r="K17" s="15" t="str">
        <f aca="false">IF(SUMIFS(Выработка!$F$5:$F$254,Выработка!$C$5:$C$254,$A17,Выработка!$A$5:$A$254,K$3)=0,"",SUMIFS(Выработка!$F$5:$F$254,Выработка!$C$5:$C$254,$A17,Выработка!$A$5:$A$254,K$3))</f>
        <v/>
      </c>
      <c r="L17" s="15" t="str">
        <f aca="false">IF(SUMIFS(Выработка!$F$5:$F$254,Выработка!$C$5:$C$254,$A17,Выработка!$A$5:$A$254,L$3)=0,"",SUMIFS(Выработка!$F$5:$F$254,Выработка!$C$5:$C$254,$A17,Выработка!$A$5:$A$254,L$3))</f>
        <v/>
      </c>
      <c r="M17" s="15" t="str">
        <f aca="false">IF(SUMIFS(Выработка!$F$5:$F$254,Выработка!$C$5:$C$254,$A17,Выработка!$A$5:$A$254,M$3)=0,"",SUMIFS(Выработка!$F$5:$F$254,Выработка!$C$5:$C$254,$A17,Выработка!$A$5:$A$254,M$3))</f>
        <v/>
      </c>
      <c r="N17" s="15" t="str">
        <f aca="false">IF(SUMIFS(Выработка!$F$5:$F$254,Выработка!$C$5:$C$254,$A17,Выработка!$A$5:$A$254,N$3)=0,"",SUMIFS(Выработка!$F$5:$F$254,Выработка!$C$5:$C$254,$A17,Выработка!$A$5:$A$254,N$3))</f>
        <v/>
      </c>
      <c r="O17" s="15" t="str">
        <f aca="false">IF(SUMIFS(Выработка!$F$5:$F$254,Выработка!$C$5:$C$254,$A17,Выработка!$A$5:$A$254,O$3)=0,"",SUMIFS(Выработка!$F$5:$F$254,Выработка!$C$5:$C$254,$A17,Выработка!$A$5:$A$254,O$3))</f>
        <v/>
      </c>
      <c r="P17" s="15" t="str">
        <f aca="false">IF(SUMIFS(Выработка!$F$5:$F$254,Выработка!$C$5:$C$254,$A17,Выработка!$A$5:$A$254,P$3)=0,"",SUMIFS(Выработка!$F$5:$F$254,Выработка!$C$5:$C$254,$A17,Выработка!$A$5:$A$254,P$3))</f>
        <v/>
      </c>
      <c r="Q17" s="15" t="str">
        <f aca="false">IF(SUMIFS(Выработка!$F$5:$F$254,Выработка!$C$5:$C$254,$A17,Выработка!$A$5:$A$254,Q$3)=0,"",SUMIFS(Выработка!$F$5:$F$254,Выработка!$C$5:$C$254,$A17,Выработка!$A$5:$A$254,Q$3))</f>
        <v/>
      </c>
      <c r="R17" s="15" t="str">
        <f aca="false">IF(SUMIFS(Выработка!$F$5:$F$254,Выработка!$C$5:$C$254,$A17,Выработка!$A$5:$A$254,R$3)=0,"",SUMIFS(Выработка!$F$5:$F$254,Выработка!$C$5:$C$254,$A17,Выработка!$A$5:$A$254,R$3))</f>
        <v/>
      </c>
      <c r="S17" s="15" t="str">
        <f aca="false">IF(SUMIFS(Выработка!$F$5:$F$254,Выработка!$C$5:$C$254,$A17,Выработка!$A$5:$A$254,S$3)=0,"",SUMIFS(Выработка!$F$5:$F$254,Выработка!$C$5:$C$254,$A17,Выработка!$A$5:$A$254,S$3))</f>
        <v/>
      </c>
      <c r="T17" s="15" t="str">
        <f aca="false">IF(SUMIFS(Выработка!$F$5:$F$254,Выработка!$C$5:$C$254,$A17,Выработка!$A$5:$A$254,T$3)=0,"",SUMIFS(Выработка!$F$5:$F$254,Выработка!$C$5:$C$254,$A17,Выработка!$A$5:$A$254,T$3))</f>
        <v/>
      </c>
      <c r="U17" s="15" t="n">
        <f aca="false">IF(SUMIFS(Выработка!$F$5:$F$254,Выработка!$C$5:$C$254,$A17,Выработка!$A$5:$A$254,U$3)=0,"",SUMIFS(Выработка!$F$5:$F$254,Выработка!$C$5:$C$254,$A17,Выработка!$A$5:$A$254,U$3))</f>
        <v>33</v>
      </c>
      <c r="V17" s="15" t="n">
        <f aca="false">IF(SUMIFS(Выработка!$F$5:$F$254,Выработка!$C$5:$C$254,$A17,Выработка!$A$5:$A$254,V$3)=0,"",SUMIFS(Выработка!$F$5:$F$254,Выработка!$C$5:$C$254,$A17,Выработка!$A$5:$A$254,V$3))</f>
        <v>25</v>
      </c>
      <c r="W17" s="15" t="str">
        <f aca="false">IF(SUMIFS(Выработка!$F$5:$F$254,Выработка!$C$5:$C$254,$A17,Выработка!$A$5:$A$254,W$3)=0,"",SUMIFS(Выработка!$F$5:$F$254,Выработка!$C$5:$C$254,$A17,Выработка!$A$5:$A$254,W$3))</f>
        <v/>
      </c>
      <c r="X17" s="15" t="str">
        <f aca="false">IF(SUMIFS(Выработка!$F$5:$F$254,Выработка!$C$5:$C$254,$A17,Выработка!$A$5:$A$254,X$3)=0,"",SUMIFS(Выработка!$F$5:$F$254,Выработка!$C$5:$C$254,$A17,Выработка!$A$5:$A$254,X$3))</f>
        <v/>
      </c>
      <c r="Y17" s="15" t="str">
        <f aca="false">IF(SUMIFS(Выработка!$F$5:$F$254,Выработка!$C$5:$C$254,$A17,Выработка!$A$5:$A$254,Y$3)=0,"",SUMIFS(Выработка!$F$5:$F$254,Выработка!$C$5:$C$254,$A17,Выработка!$A$5:$A$254,Y$3))</f>
        <v/>
      </c>
      <c r="Z17" s="15" t="str">
        <f aca="false">IF(SUMIFS(Выработка!$F$5:$F$254,Выработка!$C$5:$C$254,$A17,Выработка!$A$5:$A$254,Z$3)=0,"",SUMIFS(Выработка!$F$5:$F$254,Выработка!$C$5:$C$254,$A17,Выработка!$A$5:$A$254,Z$3))</f>
        <v/>
      </c>
      <c r="AA17" s="15" t="str">
        <f aca="false">IF(SUMIFS(Выработка!$F$5:$F$254,Выработка!$C$5:$C$254,$A17,Выработка!$A$5:$A$254,AA$3)=0,"",SUMIFS(Выработка!$F$5:$F$254,Выработка!$C$5:$C$254,$A17,Выработка!$A$5:$A$254,AA$3))</f>
        <v/>
      </c>
      <c r="AB17" s="15" t="str">
        <f aca="false">IF(SUMIFS(Выработка!$F$5:$F$254,Выработка!$C$5:$C$254,$A17,Выработка!$A$5:$A$254,AB$3)=0,"",SUMIFS(Выработка!$F$5:$F$254,Выработка!$C$5:$C$254,$A17,Выработка!$A$5:$A$254,AB$3))</f>
        <v/>
      </c>
      <c r="AC17" s="15" t="str">
        <f aca="false">IF(SUMIFS(Выработка!$F$5:$F$254,Выработка!$C$5:$C$254,$A17,Выработка!$A$5:$A$254,AC$3)=0,"",SUMIFS(Выработка!$F$5:$F$254,Выработка!$C$5:$C$254,$A17,Выработка!$A$5:$A$254,AC$3))</f>
        <v/>
      </c>
      <c r="AD17" s="15" t="n">
        <f aca="false">IF(SUMIFS(Выработка!$F$5:$F$254,Выработка!$C$5:$C$254,$A17,Выработка!$A$5:$A$254,AD$3)=0,"",SUMIFS(Выработка!$F$5:$F$254,Выработка!$C$5:$C$254,$A17,Выработка!$A$5:$A$254,AD$3))</f>
        <v>91</v>
      </c>
      <c r="AE17" s="15" t="n">
        <f aca="false">IF(SUMIFS(Выработка!$F$5:$F$254,Выработка!$C$5:$C$254,$A17,Выработка!$A$5:$A$254,AE$3)=0,"",SUMIFS(Выработка!$F$5:$F$254,Выработка!$C$5:$C$254,$A17,Выработка!$A$5:$A$254,AE$3))</f>
        <v>58</v>
      </c>
      <c r="AF17" s="15" t="str">
        <f aca="false">IF(SUMIFS(Выработка!$F$5:$F$254,Выработка!$C$5:$C$254,$A17,Выработка!$A$5:$A$254,AF$3)=0,"",SUMIFS(Выработка!$F$5:$F$254,Выработка!$C$5:$C$254,$A17,Выработка!$A$5:$A$254,AF$3))</f>
        <v/>
      </c>
      <c r="AG17" s="15" t="n">
        <f aca="false">SUM(C17:AF17)</f>
        <v>207</v>
      </c>
    </row>
    <row r="18" customFormat="false" ht="15" hidden="false" customHeight="false" outlineLevel="0" collapsed="false">
      <c r="A18" s="14" t="s">
        <v>22</v>
      </c>
      <c r="B18" s="15" t="n">
        <f aca="false">SUMIF(Выработка!$C$5:$C$254,$A18,Выработка!$F$5:$F$254)</f>
        <v>103</v>
      </c>
      <c r="C18" s="15" t="str">
        <f aca="false">IF(SUMIFS(Выработка!$F$5:$F$254,Выработка!$C$5:$C$254,$A18,Выработка!$A$5:$A$254,C$3)=0,"",SUMIFS(Выработка!$F$5:$F$254,Выработка!$C$5:$C$254,$A18,Выработка!$A$5:$A$254,C$3))</f>
        <v/>
      </c>
      <c r="D18" s="15" t="str">
        <f aca="false">IF(SUMIFS(Выработка!$F$5:$F$254,Выработка!$C$5:$C$254,$A18,Выработка!$A$5:$A$254,D$3)=0,"",SUMIFS(Выработка!$F$5:$F$254,Выработка!$C$5:$C$254,$A18,Выработка!$A$5:$A$254,D$3))</f>
        <v/>
      </c>
      <c r="E18" s="15" t="str">
        <f aca="false">IF(SUMIFS(Выработка!$F$5:$F$254,Выработка!$C$5:$C$254,$A18,Выработка!$A$5:$A$254,E$3)=0,"",SUMIFS(Выработка!$F$5:$F$254,Выработка!$C$5:$C$254,$A18,Выработка!$A$5:$A$254,E$3))</f>
        <v/>
      </c>
      <c r="F18" s="15" t="str">
        <f aca="false">IF(SUMIFS(Выработка!$F$5:$F$254,Выработка!$C$5:$C$254,$A18,Выработка!$A$5:$A$254,F$3)=0,"",SUMIFS(Выработка!$F$5:$F$254,Выработка!$C$5:$C$254,$A18,Выработка!$A$5:$A$254,F$3))</f>
        <v/>
      </c>
      <c r="G18" s="15" t="str">
        <f aca="false">IF(SUMIFS(Выработка!$F$5:$F$254,Выработка!$C$5:$C$254,$A18,Выработка!$A$5:$A$254,G$3)=0,"",SUMIFS(Выработка!$F$5:$F$254,Выработка!$C$5:$C$254,$A18,Выработка!$A$5:$A$254,G$3))</f>
        <v/>
      </c>
      <c r="H18" s="15" t="str">
        <f aca="false">IF(SUMIFS(Выработка!$F$5:$F$254,Выработка!$C$5:$C$254,$A18,Выработка!$A$5:$A$254,H$3)=0,"",SUMIFS(Выработка!$F$5:$F$254,Выработка!$C$5:$C$254,$A18,Выработка!$A$5:$A$254,H$3))</f>
        <v/>
      </c>
      <c r="I18" s="15" t="str">
        <f aca="false">IF(SUMIFS(Выработка!$F$5:$F$254,Выработка!$C$5:$C$254,$A18,Выработка!$A$5:$A$254,I$3)=0,"",SUMIFS(Выработка!$F$5:$F$254,Выработка!$C$5:$C$254,$A18,Выработка!$A$5:$A$254,I$3))</f>
        <v/>
      </c>
      <c r="J18" s="15" t="str">
        <f aca="false">IF(SUMIFS(Выработка!$F$5:$F$254,Выработка!$C$5:$C$254,$A18,Выработка!$A$5:$A$254,J$3)=0,"",SUMIFS(Выработка!$F$5:$F$254,Выработка!$C$5:$C$254,$A18,Выработка!$A$5:$A$254,J$3))</f>
        <v/>
      </c>
      <c r="K18" s="15" t="str">
        <f aca="false">IF(SUMIFS(Выработка!$F$5:$F$254,Выработка!$C$5:$C$254,$A18,Выработка!$A$5:$A$254,K$3)=0,"",SUMIFS(Выработка!$F$5:$F$254,Выработка!$C$5:$C$254,$A18,Выработка!$A$5:$A$254,K$3))</f>
        <v/>
      </c>
      <c r="L18" s="15" t="str">
        <f aca="false">IF(SUMIFS(Выработка!$F$5:$F$254,Выработка!$C$5:$C$254,$A18,Выработка!$A$5:$A$254,L$3)=0,"",SUMIFS(Выработка!$F$5:$F$254,Выработка!$C$5:$C$254,$A18,Выработка!$A$5:$A$254,L$3))</f>
        <v/>
      </c>
      <c r="M18" s="15" t="str">
        <f aca="false">IF(SUMIFS(Выработка!$F$5:$F$254,Выработка!$C$5:$C$254,$A18,Выработка!$A$5:$A$254,M$3)=0,"",SUMIFS(Выработка!$F$5:$F$254,Выработка!$C$5:$C$254,$A18,Выработка!$A$5:$A$254,M$3))</f>
        <v/>
      </c>
      <c r="N18" s="15" t="str">
        <f aca="false">IF(SUMIFS(Выработка!$F$5:$F$254,Выработка!$C$5:$C$254,$A18,Выработка!$A$5:$A$254,N$3)=0,"",SUMIFS(Выработка!$F$5:$F$254,Выработка!$C$5:$C$254,$A18,Выработка!$A$5:$A$254,N$3))</f>
        <v/>
      </c>
      <c r="O18" s="15" t="str">
        <f aca="false">IF(SUMIFS(Выработка!$F$5:$F$254,Выработка!$C$5:$C$254,$A18,Выработка!$A$5:$A$254,O$3)=0,"",SUMIFS(Выработка!$F$5:$F$254,Выработка!$C$5:$C$254,$A18,Выработка!$A$5:$A$254,O$3))</f>
        <v/>
      </c>
      <c r="P18" s="15" t="str">
        <f aca="false">IF(SUMIFS(Выработка!$F$5:$F$254,Выработка!$C$5:$C$254,$A18,Выработка!$A$5:$A$254,P$3)=0,"",SUMIFS(Выработка!$F$5:$F$254,Выработка!$C$5:$C$254,$A18,Выработка!$A$5:$A$254,P$3))</f>
        <v/>
      </c>
      <c r="Q18" s="15" t="str">
        <f aca="false">IF(SUMIFS(Выработка!$F$5:$F$254,Выработка!$C$5:$C$254,$A18,Выработка!$A$5:$A$254,Q$3)=0,"",SUMIFS(Выработка!$F$5:$F$254,Выработка!$C$5:$C$254,$A18,Выработка!$A$5:$A$254,Q$3))</f>
        <v/>
      </c>
      <c r="R18" s="15" t="str">
        <f aca="false">IF(SUMIFS(Выработка!$F$5:$F$254,Выработка!$C$5:$C$254,$A18,Выработка!$A$5:$A$254,R$3)=0,"",SUMIFS(Выработка!$F$5:$F$254,Выработка!$C$5:$C$254,$A18,Выработка!$A$5:$A$254,R$3))</f>
        <v/>
      </c>
      <c r="S18" s="15" t="str">
        <f aca="false">IF(SUMIFS(Выработка!$F$5:$F$254,Выработка!$C$5:$C$254,$A18,Выработка!$A$5:$A$254,S$3)=0,"",SUMIFS(Выработка!$F$5:$F$254,Выработка!$C$5:$C$254,$A18,Выработка!$A$5:$A$254,S$3))</f>
        <v/>
      </c>
      <c r="T18" s="15" t="str">
        <f aca="false">IF(SUMIFS(Выработка!$F$5:$F$254,Выработка!$C$5:$C$254,$A18,Выработка!$A$5:$A$254,T$3)=0,"",SUMIFS(Выработка!$F$5:$F$254,Выработка!$C$5:$C$254,$A18,Выработка!$A$5:$A$254,T$3))</f>
        <v/>
      </c>
      <c r="U18" s="15" t="str">
        <f aca="false">IF(SUMIFS(Выработка!$F$5:$F$254,Выработка!$C$5:$C$254,$A18,Выработка!$A$5:$A$254,U$3)=0,"",SUMIFS(Выработка!$F$5:$F$254,Выработка!$C$5:$C$254,$A18,Выработка!$A$5:$A$254,U$3))</f>
        <v/>
      </c>
      <c r="V18" s="15" t="str">
        <f aca="false">IF(SUMIFS(Выработка!$F$5:$F$254,Выработка!$C$5:$C$254,$A18,Выработка!$A$5:$A$254,V$3)=0,"",SUMIFS(Выработка!$F$5:$F$254,Выработка!$C$5:$C$254,$A18,Выработка!$A$5:$A$254,V$3))</f>
        <v/>
      </c>
      <c r="W18" s="15" t="str">
        <f aca="false">IF(SUMIFS(Выработка!$F$5:$F$254,Выработка!$C$5:$C$254,$A18,Выработка!$A$5:$A$254,W$3)=0,"",SUMIFS(Выработка!$F$5:$F$254,Выработка!$C$5:$C$254,$A18,Выработка!$A$5:$A$254,W$3))</f>
        <v/>
      </c>
      <c r="X18" s="15" t="str">
        <f aca="false">IF(SUMIFS(Выработка!$F$5:$F$254,Выработка!$C$5:$C$254,$A18,Выработка!$A$5:$A$254,X$3)=0,"",SUMIFS(Выработка!$F$5:$F$254,Выработка!$C$5:$C$254,$A18,Выработка!$A$5:$A$254,X$3))</f>
        <v/>
      </c>
      <c r="Y18" s="15" t="str">
        <f aca="false">IF(SUMIFS(Выработка!$F$5:$F$254,Выработка!$C$5:$C$254,$A18,Выработка!$A$5:$A$254,Y$3)=0,"",SUMIFS(Выработка!$F$5:$F$254,Выработка!$C$5:$C$254,$A18,Выработка!$A$5:$A$254,Y$3))</f>
        <v/>
      </c>
      <c r="Z18" s="15" t="str">
        <f aca="false">IF(SUMIFS(Выработка!$F$5:$F$254,Выработка!$C$5:$C$254,$A18,Выработка!$A$5:$A$254,Z$3)=0,"",SUMIFS(Выработка!$F$5:$F$254,Выработка!$C$5:$C$254,$A18,Выработка!$A$5:$A$254,Z$3))</f>
        <v/>
      </c>
      <c r="AA18" s="15" t="str">
        <f aca="false">IF(SUMIFS(Выработка!$F$5:$F$254,Выработка!$C$5:$C$254,$A18,Выработка!$A$5:$A$254,AA$3)=0,"",SUMIFS(Выработка!$F$5:$F$254,Выработка!$C$5:$C$254,$A18,Выработка!$A$5:$A$254,AA$3))</f>
        <v/>
      </c>
      <c r="AB18" s="15" t="str">
        <f aca="false">IF(SUMIFS(Выработка!$F$5:$F$254,Выработка!$C$5:$C$254,$A18,Выработка!$A$5:$A$254,AB$3)=0,"",SUMIFS(Выработка!$F$5:$F$254,Выработка!$C$5:$C$254,$A18,Выработка!$A$5:$A$254,AB$3))</f>
        <v/>
      </c>
      <c r="AC18" s="15" t="str">
        <f aca="false">IF(SUMIFS(Выработка!$F$5:$F$254,Выработка!$C$5:$C$254,$A18,Выработка!$A$5:$A$254,AC$3)=0,"",SUMIFS(Выработка!$F$5:$F$254,Выработка!$C$5:$C$254,$A18,Выработка!$A$5:$A$254,AC$3))</f>
        <v/>
      </c>
      <c r="AD18" s="15" t="str">
        <f aca="false">IF(SUMIFS(Выработка!$F$5:$F$254,Выработка!$C$5:$C$254,$A18,Выработка!$A$5:$A$254,AD$3)=0,"",SUMIFS(Выработка!$F$5:$F$254,Выработка!$C$5:$C$254,$A18,Выработка!$A$5:$A$254,AD$3))</f>
        <v/>
      </c>
      <c r="AE18" s="15" t="str">
        <f aca="false">IF(SUMIFS(Выработка!$F$5:$F$254,Выработка!$C$5:$C$254,$A18,Выработка!$A$5:$A$254,AE$3)=0,"",SUMIFS(Выработка!$F$5:$F$254,Выработка!$C$5:$C$254,$A18,Выработка!$A$5:$A$254,AE$3))</f>
        <v/>
      </c>
      <c r="AF18" s="15" t="str">
        <f aca="false">IF(SUMIFS(Выработка!$F$5:$F$254,Выработка!$C$5:$C$254,$A18,Выработка!$A$5:$A$254,AF$3)=0,"",SUMIFS(Выработка!$F$5:$F$254,Выработка!$C$5:$C$254,$A18,Выработка!$A$5:$A$254,AF$3))</f>
        <v/>
      </c>
      <c r="AG18" s="15" t="n">
        <f aca="false">SUM(C18:AF18)</f>
        <v>0</v>
      </c>
    </row>
    <row r="19" customFormat="false" ht="15" hidden="false" customHeight="false" outlineLevel="0" collapsed="false">
      <c r="A19" s="16" t="s">
        <v>58</v>
      </c>
      <c r="B19" s="17" t="n">
        <f aca="false">SUM(B5:B18)</f>
        <v>31056.1</v>
      </c>
      <c r="C19" s="17" t="n">
        <f aca="false">SUM(C5:C18)</f>
        <v>941</v>
      </c>
      <c r="D19" s="17" t="n">
        <f aca="false">SUM(D5:D18)</f>
        <v>92</v>
      </c>
      <c r="E19" s="17" t="n">
        <f aca="false">SUM(E5:E18)</f>
        <v>706.44</v>
      </c>
      <c r="F19" s="17" t="n">
        <f aca="false">SUM(F5:F18)</f>
        <v>660</v>
      </c>
      <c r="G19" s="17" t="n">
        <f aca="false">SUM(G5:G18)</f>
        <v>783</v>
      </c>
      <c r="H19" s="17" t="n">
        <f aca="false">SUM(H5:H18)</f>
        <v>628</v>
      </c>
      <c r="I19" s="17" t="n">
        <f aca="false">SUM(I5:I18)</f>
        <v>874</v>
      </c>
      <c r="J19" s="17" t="n">
        <f aca="false">SUM(J5:J18)</f>
        <v>303.9</v>
      </c>
      <c r="K19" s="17" t="n">
        <f aca="false">SUM(K5:K18)</f>
        <v>1104.6</v>
      </c>
      <c r="L19" s="17" t="n">
        <f aca="false">SUM(L5:L18)</f>
        <v>711.16</v>
      </c>
      <c r="M19" s="17" t="n">
        <f aca="false">SUM(M5:M18)</f>
        <v>1108</v>
      </c>
      <c r="N19" s="17" t="n">
        <f aca="false">SUM(N5:N18)</f>
        <v>30</v>
      </c>
      <c r="O19" s="17" t="n">
        <f aca="false">SUM(O5:O18)</f>
        <v>54</v>
      </c>
      <c r="P19" s="17" t="n">
        <f aca="false">SUM(P5:P18)</f>
        <v>407</v>
      </c>
      <c r="Q19" s="17" t="n">
        <f aca="false">SUM(Q5:Q18)</f>
        <v>31</v>
      </c>
      <c r="R19" s="17" t="n">
        <f aca="false">SUM(R5:R18)</f>
        <v>52</v>
      </c>
      <c r="S19" s="17" t="n">
        <f aca="false">SUM(S5:S18)</f>
        <v>172</v>
      </c>
      <c r="T19" s="17" t="n">
        <f aca="false">SUM(T5:T18)</f>
        <v>283</v>
      </c>
      <c r="U19" s="17" t="n">
        <f aca="false">SUM(U5:U18)</f>
        <v>732</v>
      </c>
      <c r="V19" s="17" t="n">
        <f aca="false">SUM(V5:V18)</f>
        <v>25</v>
      </c>
      <c r="W19" s="17" t="n">
        <f aca="false">SUM(W5:W18)</f>
        <v>623</v>
      </c>
      <c r="X19" s="17" t="n">
        <f aca="false">SUM(X5:X18)</f>
        <v>249</v>
      </c>
      <c r="Y19" s="17" t="n">
        <f aca="false">SUM(Y5:Y18)</f>
        <v>674</v>
      </c>
      <c r="Z19" s="17" t="n">
        <f aca="false">SUM(Z5:Z18)</f>
        <v>327</v>
      </c>
      <c r="AA19" s="17" t="n">
        <f aca="false">SUM(AA5:AA18)</f>
        <v>77</v>
      </c>
      <c r="AB19" s="17" t="n">
        <f aca="false">SUM(AB5:AB18)</f>
        <v>212</v>
      </c>
      <c r="AC19" s="17" t="n">
        <f aca="false">SUM(AC5:AC18)</f>
        <v>287</v>
      </c>
      <c r="AD19" s="17" t="n">
        <f aca="false">SUM(AD5:AD18)</f>
        <v>739</v>
      </c>
      <c r="AE19" s="17" t="n">
        <f aca="false">SUM(AE5:AE18)</f>
        <v>854</v>
      </c>
      <c r="AF19" s="17" t="n">
        <f aca="false">SUM(AF5:AF18)</f>
        <v>569</v>
      </c>
      <c r="AG19" s="17" t="n">
        <f aca="false">SUM(AG5:AG18)</f>
        <v>14309.1</v>
      </c>
    </row>
  </sheetData>
  <mergeCells count="2">
    <mergeCell ref="A1:AG1"/>
    <mergeCell ref="A2:A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6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9" min="9" style="0" width="12"/>
    <col collapsed="false" customWidth="true" hidden="false" outlineLevel="0" max="10" min="10" style="0" width="26"/>
  </cols>
  <sheetData>
    <row r="1" customFormat="false" ht="21.75" hidden="false" customHeight="true" outlineLevel="0" collapsed="false">
      <c r="A1" s="1" t="s">
        <v>59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60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0" hidden="false" customHeight="true" outlineLevel="0" collapsed="false">
      <c r="A4" s="3" t="s">
        <v>2</v>
      </c>
      <c r="B4" s="3" t="s">
        <v>61</v>
      </c>
      <c r="C4" s="3" t="s">
        <v>62</v>
      </c>
      <c r="D4" s="3" t="s">
        <v>63</v>
      </c>
      <c r="E4" s="3" t="s">
        <v>64</v>
      </c>
      <c r="F4" s="3" t="s">
        <v>65</v>
      </c>
      <c r="G4" s="3" t="s">
        <v>66</v>
      </c>
      <c r="H4" s="3" t="s">
        <v>67</v>
      </c>
      <c r="I4" s="3" t="s">
        <v>6</v>
      </c>
      <c r="J4" s="3" t="s">
        <v>68</v>
      </c>
    </row>
    <row r="5" customFormat="false" ht="15" hidden="false" customHeight="false" outlineLevel="0" collapsed="false">
      <c r="A5" s="14" t="s">
        <v>9</v>
      </c>
      <c r="B5" s="14" t="s">
        <v>69</v>
      </c>
      <c r="C5" s="14" t="s">
        <v>70</v>
      </c>
      <c r="D5" s="14"/>
      <c r="E5" s="14"/>
      <c r="F5" s="18" t="n">
        <v>46113</v>
      </c>
      <c r="G5" s="18" t="n">
        <v>46135</v>
      </c>
      <c r="H5" s="19" t="str">
        <f aca="false">IF(AND(D5&lt;&gt;"",F5&lt;&gt;""),F5-D5,"")</f>
        <v/>
      </c>
      <c r="I5" s="20" t="n">
        <f aca="false">Данные!I5</f>
        <v>0.9942074776198</v>
      </c>
      <c r="J5" s="14" t="str">
        <f aca="true">IF(I5&gt;=0.995,"закрыто",IF(AND(E5&lt;&gt;"",E5&lt;TODAY()),"агросрок истёк, не закрыто",IF(F5="","не начинали","в работе")))</f>
        <v>в работе</v>
      </c>
    </row>
    <row r="6" customFormat="false" ht="15" hidden="false" customHeight="false" outlineLevel="0" collapsed="false">
      <c r="A6" s="14" t="s">
        <v>9</v>
      </c>
      <c r="B6" s="14" t="s">
        <v>69</v>
      </c>
      <c r="C6" s="14" t="s">
        <v>70</v>
      </c>
      <c r="D6" s="14"/>
      <c r="E6" s="14"/>
      <c r="F6" s="18" t="n">
        <v>46137</v>
      </c>
      <c r="G6" s="18" t="n">
        <v>46152</v>
      </c>
      <c r="H6" s="19" t="str">
        <f aca="false">IF(AND(D6&lt;&gt;"",F6&lt;&gt;""),F6-D6,"")</f>
        <v/>
      </c>
      <c r="I6" s="20" t="n">
        <f aca="false">Данные!I6</f>
        <v>0.980516061084782</v>
      </c>
      <c r="J6" s="14" t="str">
        <f aca="true">IF(I6&gt;=0.995,"закрыто",IF(AND(E6&lt;&gt;"",E6&lt;TODAY()),"агросрок истёк, не закрыто",IF(F6="","не начинали","в работе")))</f>
        <v>в работе</v>
      </c>
    </row>
    <row r="7" customFormat="false" ht="15" hidden="false" customHeight="false" outlineLevel="0" collapsed="false">
      <c r="A7" s="14" t="s">
        <v>9</v>
      </c>
      <c r="B7" s="14" t="s">
        <v>69</v>
      </c>
      <c r="C7" s="14" t="s">
        <v>70</v>
      </c>
      <c r="D7" s="14"/>
      <c r="E7" s="14"/>
      <c r="F7" s="18" t="n">
        <v>46128</v>
      </c>
      <c r="G7" s="18" t="n">
        <v>46129</v>
      </c>
      <c r="H7" s="19" t="str">
        <f aca="false">IF(AND(D7&lt;&gt;"",F7&lt;&gt;""),F7-D7,"")</f>
        <v/>
      </c>
      <c r="I7" s="20" t="n">
        <f aca="false">Данные!I7</f>
        <v>1</v>
      </c>
      <c r="J7" s="14" t="str">
        <f aca="true">IF(I7&gt;=0.995,"закрыто",IF(AND(E7&lt;&gt;"",E7&lt;TODAY()),"агросрок истёк, не закрыто",IF(F7="","не начинали","в работе")))</f>
        <v>закрыто</v>
      </c>
    </row>
    <row r="8" customFormat="false" ht="15" hidden="false" customHeight="false" outlineLevel="0" collapsed="false">
      <c r="A8" s="14" t="s">
        <v>9</v>
      </c>
      <c r="B8" s="14" t="s">
        <v>71</v>
      </c>
      <c r="C8" s="14" t="s">
        <v>70</v>
      </c>
      <c r="D8" s="14"/>
      <c r="E8" s="14"/>
      <c r="F8" s="18" t="n">
        <v>46117</v>
      </c>
      <c r="G8" s="18" t="n">
        <v>46130</v>
      </c>
      <c r="H8" s="19" t="str">
        <f aca="false">IF(AND(D8&lt;&gt;"",F8&lt;&gt;""),F8-D8,"")</f>
        <v/>
      </c>
      <c r="I8" s="20" t="n">
        <f aca="false">Данные!I8</f>
        <v>0.787418655097614</v>
      </c>
      <c r="J8" s="14" t="str">
        <f aca="true">IF(I8&gt;=0.995,"закрыто",IF(AND(E8&lt;&gt;"",E8&lt;TODAY()),"агросрок истёк, не закрыто",IF(F8="","не начинали","в работе")))</f>
        <v>в работе</v>
      </c>
    </row>
    <row r="9" customFormat="false" ht="15" hidden="false" customHeight="false" outlineLevel="0" collapsed="false">
      <c r="A9" s="14" t="s">
        <v>9</v>
      </c>
      <c r="B9" s="14" t="s">
        <v>72</v>
      </c>
      <c r="C9" s="14" t="s">
        <v>70</v>
      </c>
      <c r="D9" s="14"/>
      <c r="E9" s="14"/>
      <c r="F9" s="18" t="n">
        <v>46110</v>
      </c>
      <c r="G9" s="18" t="n">
        <v>46113</v>
      </c>
      <c r="H9" s="19" t="str">
        <f aca="false">IF(AND(D9&lt;&gt;"",F9&lt;&gt;""),F9-D9,"")</f>
        <v/>
      </c>
      <c r="I9" s="20" t="n">
        <f aca="false">Данные!I9</f>
        <v>1</v>
      </c>
      <c r="J9" s="14" t="str">
        <f aca="true">IF(I9&gt;=0.995,"закрыто",IF(AND(E9&lt;&gt;"",E9&lt;TODAY()),"агросрок истёк, не закрыто",IF(F9="","не начинали","в работе")))</f>
        <v>закрыто</v>
      </c>
    </row>
    <row r="10" customFormat="false" ht="15" hidden="false" customHeight="false" outlineLevel="0" collapsed="false">
      <c r="A10" s="14" t="s">
        <v>9</v>
      </c>
      <c r="B10" s="14" t="s">
        <v>73</v>
      </c>
      <c r="C10" s="14" t="s">
        <v>70</v>
      </c>
      <c r="D10" s="14"/>
      <c r="E10" s="14"/>
      <c r="F10" s="18" t="n">
        <v>46117</v>
      </c>
      <c r="G10" s="14"/>
      <c r="H10" s="19" t="str">
        <f aca="false">IF(AND(D10&lt;&gt;"",F10&lt;&gt;""),F10-D10,"")</f>
        <v/>
      </c>
      <c r="I10" s="20" t="n">
        <f aca="false">Данные!I10</f>
        <v>0.245501285347044</v>
      </c>
      <c r="J10" s="14" t="str">
        <f aca="true">IF(I10&gt;=0.995,"закрыто",IF(AND(E10&lt;&gt;"",E10&lt;TODAY()),"агросрок истёк, не закрыто",IF(F10="","не начинали","в работе")))</f>
        <v>в работе</v>
      </c>
    </row>
    <row r="11" customFormat="false" ht="15" hidden="false" customHeight="false" outlineLevel="0" collapsed="false">
      <c r="A11" s="14" t="s">
        <v>9</v>
      </c>
      <c r="B11" s="14" t="s">
        <v>74</v>
      </c>
      <c r="C11" s="14" t="s">
        <v>70</v>
      </c>
      <c r="D11" s="14"/>
      <c r="E11" s="14"/>
      <c r="F11" s="18" t="n">
        <v>46135</v>
      </c>
      <c r="G11" s="14"/>
      <c r="H11" s="19" t="str">
        <f aca="false">IF(AND(D11&lt;&gt;"",F11&lt;&gt;""),F11-D11,"")</f>
        <v/>
      </c>
      <c r="I11" s="20" t="n">
        <f aca="false">Данные!I11</f>
        <v>0.871428571428571</v>
      </c>
      <c r="J11" s="14" t="str">
        <f aca="true">IF(I11&gt;=0.995,"закрыто",IF(AND(E11&lt;&gt;"",E11&lt;TODAY()),"агросрок истёк, не закрыто",IF(F11="","не начинали","в работе")))</f>
        <v>в работе</v>
      </c>
    </row>
    <row r="12" customFormat="false" ht="15" hidden="false" customHeight="false" outlineLevel="0" collapsed="false">
      <c r="A12" s="14" t="s">
        <v>9</v>
      </c>
      <c r="B12" s="14" t="s">
        <v>74</v>
      </c>
      <c r="C12" s="14" t="s">
        <v>70</v>
      </c>
      <c r="D12" s="14"/>
      <c r="E12" s="14"/>
      <c r="F12" s="18" t="n">
        <v>46149</v>
      </c>
      <c r="G12" s="14"/>
      <c r="H12" s="19" t="str">
        <f aca="false">IF(AND(D12&lt;&gt;"",F12&lt;&gt;""),F12-D12,"")</f>
        <v/>
      </c>
      <c r="I12" s="20" t="n">
        <f aca="false">Данные!I12</f>
        <v>0.364285714285714</v>
      </c>
      <c r="J12" s="14" t="str">
        <f aca="true">IF(I12&gt;=0.995,"закрыто",IF(AND(E12&lt;&gt;"",E12&lt;TODAY()),"агросрок истёк, не закрыто",IF(F12="","не начинали","в работе")))</f>
        <v>в работе</v>
      </c>
    </row>
    <row r="13" customFormat="false" ht="15" hidden="false" customHeight="false" outlineLevel="0" collapsed="false">
      <c r="A13" s="14" t="s">
        <v>9</v>
      </c>
      <c r="B13" s="14" t="s">
        <v>75</v>
      </c>
      <c r="C13" s="14" t="s">
        <v>70</v>
      </c>
      <c r="D13" s="14"/>
      <c r="E13" s="14"/>
      <c r="F13" s="18" t="n">
        <v>46154</v>
      </c>
      <c r="G13" s="18" t="n">
        <v>46166</v>
      </c>
      <c r="H13" s="19" t="str">
        <f aca="false">IF(AND(D13&lt;&gt;"",F13&lt;&gt;""),F13-D13,"")</f>
        <v/>
      </c>
      <c r="I13" s="20" t="n">
        <f aca="false">Данные!I13</f>
        <v>1</v>
      </c>
      <c r="J13" s="14" t="str">
        <f aca="true">IF(I13&gt;=0.995,"закрыто",IF(AND(E13&lt;&gt;"",E13&lt;TODAY()),"агросрок истёк, не закрыто",IF(F13="","не начинали","в работе")))</f>
        <v>закрыто</v>
      </c>
    </row>
    <row r="14" customFormat="false" ht="15" hidden="false" customHeight="false" outlineLevel="0" collapsed="false">
      <c r="A14" s="14" t="s">
        <v>9</v>
      </c>
      <c r="B14" s="14" t="s">
        <v>76</v>
      </c>
      <c r="C14" s="14" t="s">
        <v>70</v>
      </c>
      <c r="D14" s="14"/>
      <c r="E14" s="14"/>
      <c r="F14" s="18" t="n">
        <v>46164</v>
      </c>
      <c r="G14" s="18" t="n">
        <v>46165</v>
      </c>
      <c r="H14" s="19" t="str">
        <f aca="false">IF(AND(D14&lt;&gt;"",F14&lt;&gt;""),F14-D14,"")</f>
        <v/>
      </c>
      <c r="I14" s="20" t="n">
        <f aca="false">Данные!I14</f>
        <v>1</v>
      </c>
      <c r="J14" s="14" t="str">
        <f aca="true">IF(I14&gt;=0.995,"закрыто",IF(AND(E14&lt;&gt;"",E14&lt;TODAY()),"агросрок истёк, не закрыто",IF(F14="","не начинали","в работе")))</f>
        <v>закрыто</v>
      </c>
    </row>
    <row r="15" customFormat="false" ht="15" hidden="false" customHeight="false" outlineLevel="0" collapsed="false">
      <c r="A15" s="14" t="s">
        <v>9</v>
      </c>
      <c r="B15" s="14" t="s">
        <v>73</v>
      </c>
      <c r="C15" s="14" t="s">
        <v>70</v>
      </c>
      <c r="D15" s="14"/>
      <c r="E15" s="14"/>
      <c r="F15" s="18" t="n">
        <v>46133</v>
      </c>
      <c r="G15" s="18" t="n">
        <v>46166</v>
      </c>
      <c r="H15" s="19" t="str">
        <f aca="false">IF(AND(D15&lt;&gt;"",F15&lt;&gt;""),F15-D15,"")</f>
        <v/>
      </c>
      <c r="I15" s="20" t="n">
        <f aca="false">Данные!I15</f>
        <v>1</v>
      </c>
      <c r="J15" s="14" t="str">
        <f aca="true">IF(I15&gt;=0.995,"закрыто",IF(AND(E15&lt;&gt;"",E15&lt;TODAY()),"агросрок истёк, не закрыто",IF(F15="","не начинали","в работе")))</f>
        <v>закрыто</v>
      </c>
    </row>
    <row r="16" customFormat="false" ht="15" hidden="false" customHeight="false" outlineLevel="0" collapsed="false">
      <c r="A16" s="14" t="s">
        <v>9</v>
      </c>
      <c r="B16" s="14" t="s">
        <v>74</v>
      </c>
      <c r="C16" s="14" t="s">
        <v>70</v>
      </c>
      <c r="D16" s="14"/>
      <c r="E16" s="14"/>
      <c r="F16" s="18" t="n">
        <v>46165</v>
      </c>
      <c r="G16" s="14"/>
      <c r="H16" s="19" t="str">
        <f aca="false">IF(AND(D16&lt;&gt;"",F16&lt;&gt;""),F16-D16,"")</f>
        <v/>
      </c>
      <c r="I16" s="20" t="n">
        <f aca="false">Данные!I16</f>
        <v>0.221428571428571</v>
      </c>
      <c r="J16" s="14" t="str">
        <f aca="true">IF(I16&gt;=0.995,"закрыто",IF(AND(E16&lt;&gt;"",E16&lt;TODAY()),"агросрок истёк, не закрыто",IF(F16="","не начинали","в работе")))</f>
        <v>в работе</v>
      </c>
    </row>
    <row r="17" customFormat="false" ht="15" hidden="false" customHeight="false" outlineLevel="0" collapsed="false">
      <c r="A17" s="14" t="s">
        <v>9</v>
      </c>
      <c r="B17" s="14" t="s">
        <v>77</v>
      </c>
      <c r="C17" s="14" t="s">
        <v>70</v>
      </c>
      <c r="D17" s="14"/>
      <c r="E17" s="14"/>
      <c r="F17" s="18" t="n">
        <v>46166</v>
      </c>
      <c r="G17" s="18" t="n">
        <v>46166</v>
      </c>
      <c r="H17" s="19" t="str">
        <f aca="false">IF(AND(D17&lt;&gt;"",F17&lt;&gt;""),F17-D17,"")</f>
        <v/>
      </c>
      <c r="I17" s="20" t="n">
        <f aca="false">Данные!I17</f>
        <v>1</v>
      </c>
      <c r="J17" s="14" t="str">
        <f aca="true">IF(I17&gt;=0.995,"закрыто",IF(AND(E17&lt;&gt;"",E17&lt;TODAY()),"агросрок истёк, не закрыто",IF(F17="","не начинали","в работе")))</f>
        <v>закрыто</v>
      </c>
    </row>
    <row r="18" customFormat="false" ht="15" hidden="false" customHeight="false" outlineLevel="0" collapsed="false">
      <c r="A18" s="14" t="s">
        <v>10</v>
      </c>
      <c r="B18" s="14" t="s">
        <v>72</v>
      </c>
      <c r="C18" s="14" t="s">
        <v>70</v>
      </c>
      <c r="D18" s="14"/>
      <c r="E18" s="14"/>
      <c r="F18" s="18" t="n">
        <v>46113</v>
      </c>
      <c r="G18" s="18" t="n">
        <v>46114</v>
      </c>
      <c r="H18" s="19" t="str">
        <f aca="false">IF(AND(D18&lt;&gt;"",F18&lt;&gt;""),F18-D18,"")</f>
        <v/>
      </c>
      <c r="I18" s="20" t="n">
        <f aca="false">Данные!I18</f>
        <v>1</v>
      </c>
      <c r="J18" s="14" t="str">
        <f aca="true">IF(I18&gt;=0.995,"закрыто",IF(AND(E18&lt;&gt;"",E18&lt;TODAY()),"агросрок истёк, не закрыто",IF(F18="","не начинали","в работе")))</f>
        <v>закрыто</v>
      </c>
    </row>
    <row r="19" customFormat="false" ht="15" hidden="false" customHeight="false" outlineLevel="0" collapsed="false">
      <c r="A19" s="14" t="s">
        <v>10</v>
      </c>
      <c r="B19" s="14" t="s">
        <v>72</v>
      </c>
      <c r="C19" s="14" t="s">
        <v>70</v>
      </c>
      <c r="D19" s="14"/>
      <c r="E19" s="14"/>
      <c r="F19" s="18" t="n">
        <v>46129</v>
      </c>
      <c r="G19" s="18" t="n">
        <v>46132</v>
      </c>
      <c r="H19" s="19" t="str">
        <f aca="false">IF(AND(D19&lt;&gt;"",F19&lt;&gt;""),F19-D19,"")</f>
        <v/>
      </c>
      <c r="I19" s="20" t="n">
        <f aca="false">Данные!I19</f>
        <v>1</v>
      </c>
      <c r="J19" s="14" t="str">
        <f aca="true">IF(I19&gt;=0.995,"закрыто",IF(AND(E19&lt;&gt;"",E19&lt;TODAY()),"агросрок истёк, не закрыто",IF(F19="","не начинали","в работе")))</f>
        <v>закрыто</v>
      </c>
    </row>
    <row r="20" customFormat="false" ht="15" hidden="false" customHeight="false" outlineLevel="0" collapsed="false">
      <c r="A20" s="14" t="s">
        <v>10</v>
      </c>
      <c r="B20" s="14" t="s">
        <v>69</v>
      </c>
      <c r="C20" s="14" t="s">
        <v>70</v>
      </c>
      <c r="D20" s="14"/>
      <c r="E20" s="14"/>
      <c r="F20" s="18" t="n">
        <v>46137</v>
      </c>
      <c r="G20" s="14"/>
      <c r="H20" s="19" t="str">
        <f aca="false">IF(AND(D20&lt;&gt;"",F20&lt;&gt;""),F20-D20,"")</f>
        <v/>
      </c>
      <c r="I20" s="20" t="n">
        <f aca="false">Данные!I20</f>
        <v>0.640600315955766</v>
      </c>
      <c r="J20" s="14" t="str">
        <f aca="true">IF(I20&gt;=0.995,"закрыто",IF(AND(E20&lt;&gt;"",E20&lt;TODAY()),"агросрок истёк, не закрыто",IF(F20="","не начинали","в работе")))</f>
        <v>в работе</v>
      </c>
    </row>
    <row r="21" customFormat="false" ht="15" hidden="false" customHeight="false" outlineLevel="0" collapsed="false">
      <c r="A21" s="14" t="s">
        <v>10</v>
      </c>
      <c r="B21" s="14" t="s">
        <v>73</v>
      </c>
      <c r="C21" s="14" t="s">
        <v>70</v>
      </c>
      <c r="D21" s="14"/>
      <c r="E21" s="14"/>
      <c r="F21" s="18" t="n">
        <v>46149</v>
      </c>
      <c r="G21" s="14"/>
      <c r="H21" s="19" t="str">
        <f aca="false">IF(AND(D21&lt;&gt;"",F21&lt;&gt;""),F21-D21,"")</f>
        <v/>
      </c>
      <c r="I21" s="20" t="n">
        <f aca="false">Данные!I21</f>
        <v>0.138817480719794</v>
      </c>
      <c r="J21" s="14" t="str">
        <f aca="true">IF(I21&gt;=0.995,"закрыто",IF(AND(E21&lt;&gt;"",E21&lt;TODAY()),"агросрок истёк, не закрыто",IF(F21="","не начинали","в работе")))</f>
        <v>в работе</v>
      </c>
    </row>
    <row r="22" customFormat="false" ht="15" hidden="false" customHeight="false" outlineLevel="0" collapsed="false">
      <c r="A22" s="14" t="s">
        <v>10</v>
      </c>
      <c r="B22" s="14" t="s">
        <v>73</v>
      </c>
      <c r="C22" s="14" t="s">
        <v>70</v>
      </c>
      <c r="D22" s="14"/>
      <c r="E22" s="14"/>
      <c r="F22" s="18" t="n">
        <v>46142</v>
      </c>
      <c r="G22" s="14"/>
      <c r="H22" s="19" t="str">
        <f aca="false">IF(AND(D22&lt;&gt;"",F22&lt;&gt;""),F22-D22,"")</f>
        <v/>
      </c>
      <c r="I22" s="20" t="n">
        <f aca="false">Данные!I22</f>
        <v>0.844473007712082</v>
      </c>
      <c r="J22" s="14" t="str">
        <f aca="true">IF(I22&gt;=0.995,"закрыто",IF(AND(E22&lt;&gt;"",E22&lt;TODAY()),"агросрок истёк, не закрыто",IF(F22="","не начинали","в работе")))</f>
        <v>в работе</v>
      </c>
    </row>
    <row r="23" customFormat="false" ht="15" hidden="false" customHeight="false" outlineLevel="0" collapsed="false">
      <c r="A23" s="14" t="s">
        <v>10</v>
      </c>
      <c r="B23" s="14" t="s">
        <v>74</v>
      </c>
      <c r="C23" s="14" t="s">
        <v>70</v>
      </c>
      <c r="D23" s="14"/>
      <c r="E23" s="14"/>
      <c r="F23" s="18" t="n">
        <v>46164</v>
      </c>
      <c r="G23" s="14"/>
      <c r="H23" s="19" t="str">
        <f aca="false">IF(AND(D23&lt;&gt;"",F23&lt;&gt;""),F23-D23,"")</f>
        <v/>
      </c>
      <c r="I23" s="20" t="n">
        <f aca="false">Данные!I23</f>
        <v>0.0476190476190476</v>
      </c>
      <c r="J23" s="14" t="str">
        <f aca="true">IF(I23&gt;=0.995,"закрыто",IF(AND(E23&lt;&gt;"",E23&lt;TODAY()),"агросрок истёк, не закрыто",IF(F23="","не начинали","в работе")))</f>
        <v>в работе</v>
      </c>
    </row>
    <row r="24" customFormat="false" ht="15" hidden="false" customHeight="false" outlineLevel="0" collapsed="false">
      <c r="A24" s="14" t="s">
        <v>11</v>
      </c>
      <c r="B24" s="14" t="s">
        <v>69</v>
      </c>
      <c r="C24" s="14" t="s">
        <v>70</v>
      </c>
      <c r="D24" s="18" t="n">
        <v>46080</v>
      </c>
      <c r="E24" s="18" t="n">
        <v>46084</v>
      </c>
      <c r="F24" s="18" t="n">
        <v>46080</v>
      </c>
      <c r="G24" s="18" t="n">
        <v>46084</v>
      </c>
      <c r="H24" s="19" t="n">
        <f aca="false">IF(AND(D24&lt;&gt;"",F24&lt;&gt;""),F24-D24,"")</f>
        <v>0</v>
      </c>
      <c r="I24" s="20" t="n">
        <f aca="false">Данные!I24</f>
        <v>1</v>
      </c>
      <c r="J24" s="14" t="str">
        <f aca="true">IF(I24&gt;=0.995,"закрыто",IF(AND(E24&lt;&gt;"",E24&lt;TODAY()),"агросрок истёк, не закрыто",IF(F24="","не начинали","в работе")))</f>
        <v>закрыто</v>
      </c>
    </row>
    <row r="25" customFormat="false" ht="15" hidden="false" customHeight="false" outlineLevel="0" collapsed="false">
      <c r="A25" s="14" t="s">
        <v>11</v>
      </c>
      <c r="B25" s="14" t="s">
        <v>73</v>
      </c>
      <c r="C25" s="14" t="s">
        <v>70</v>
      </c>
      <c r="D25" s="14"/>
      <c r="E25" s="14"/>
      <c r="F25" s="18" t="n">
        <v>46152</v>
      </c>
      <c r="G25" s="14"/>
      <c r="H25" s="19" t="str">
        <f aca="false">IF(AND(D25&lt;&gt;"",F25&lt;&gt;""),F25-D25,"")</f>
        <v/>
      </c>
      <c r="I25" s="20" t="n">
        <f aca="false">Данные!I25</f>
        <v>0.37146529562982</v>
      </c>
      <c r="J25" s="14" t="str">
        <f aca="true">IF(I25&gt;=0.995,"закрыто",IF(AND(E25&lt;&gt;"",E25&lt;TODAY()),"агросрок истёк, не закрыто",IF(F25="","не начинали","в работе")))</f>
        <v>в работе</v>
      </c>
    </row>
    <row r="26" customFormat="false" ht="15" hidden="false" customHeight="false" outlineLevel="0" collapsed="false">
      <c r="A26" s="14" t="s">
        <v>11</v>
      </c>
      <c r="B26" s="14" t="s">
        <v>72</v>
      </c>
      <c r="C26" s="14" t="s">
        <v>70</v>
      </c>
      <c r="D26" s="18" t="n">
        <v>46080</v>
      </c>
      <c r="E26" s="18" t="n">
        <v>46084</v>
      </c>
      <c r="F26" s="18" t="n">
        <v>46084</v>
      </c>
      <c r="G26" s="18" t="n">
        <v>46084</v>
      </c>
      <c r="H26" s="19" t="n">
        <f aca="false">IF(AND(D26&lt;&gt;"",F26&lt;&gt;""),F26-D26,"")</f>
        <v>4</v>
      </c>
      <c r="I26" s="20" t="n">
        <f aca="false">Данные!I26</f>
        <v>1</v>
      </c>
      <c r="J26" s="14" t="str">
        <f aca="true">IF(I26&gt;=0.995,"закрыто",IF(AND(E26&lt;&gt;"",E26&lt;TODAY()),"агросрок истёк, не закрыто",IF(F26="","не начинали","в работе")))</f>
        <v>закрыто</v>
      </c>
    </row>
    <row r="27" customFormat="false" ht="15" hidden="false" customHeight="false" outlineLevel="0" collapsed="false">
      <c r="A27" s="14" t="s">
        <v>12</v>
      </c>
      <c r="B27" s="14" t="s">
        <v>72</v>
      </c>
      <c r="C27" s="14" t="s">
        <v>70</v>
      </c>
      <c r="D27" s="14"/>
      <c r="E27" s="14"/>
      <c r="F27" s="18" t="n">
        <v>46111</v>
      </c>
      <c r="G27" s="18" t="n">
        <v>46111</v>
      </c>
      <c r="H27" s="19" t="str">
        <f aca="false">IF(AND(D27&lt;&gt;"",F27&lt;&gt;""),F27-D27,"")</f>
        <v/>
      </c>
      <c r="I27" s="20" t="n">
        <f aca="false">Данные!I27</f>
        <v>1</v>
      </c>
      <c r="J27" s="14" t="str">
        <f aca="true">IF(I27&gt;=0.995,"закрыто",IF(AND(E27&lt;&gt;"",E27&lt;TODAY()),"агросрок истёк, не закрыто",IF(F27="","не начинали","в работе")))</f>
        <v>закрыто</v>
      </c>
    </row>
    <row r="28" customFormat="false" ht="15" hidden="false" customHeight="false" outlineLevel="0" collapsed="false">
      <c r="A28" s="14" t="s">
        <v>12</v>
      </c>
      <c r="B28" s="14" t="s">
        <v>69</v>
      </c>
      <c r="C28" s="14" t="s">
        <v>70</v>
      </c>
      <c r="D28" s="18" t="n">
        <v>46104</v>
      </c>
      <c r="E28" s="18" t="n">
        <v>46110</v>
      </c>
      <c r="F28" s="18" t="n">
        <v>46104</v>
      </c>
      <c r="G28" s="14"/>
      <c r="H28" s="19" t="n">
        <f aca="false">IF(AND(D28&lt;&gt;"",F28&lt;&gt;""),F28-D28,"")</f>
        <v>0</v>
      </c>
      <c r="I28" s="20" t="n">
        <f aca="false">Данные!I28</f>
        <v>1</v>
      </c>
      <c r="J28" s="14" t="str">
        <f aca="true">IF(I28&gt;=0.995,"закрыто",IF(AND(E28&lt;&gt;"",E28&lt;TODAY()),"агросрок истёк, не закрыто",IF(F28="","не начинали","в работе")))</f>
        <v>закрыто</v>
      </c>
    </row>
    <row r="29" customFormat="false" ht="15" hidden="false" customHeight="false" outlineLevel="0" collapsed="false">
      <c r="A29" s="14" t="s">
        <v>13</v>
      </c>
      <c r="B29" s="14" t="s">
        <v>74</v>
      </c>
      <c r="C29" s="14" t="s">
        <v>70</v>
      </c>
      <c r="D29" s="18" t="n">
        <v>46106</v>
      </c>
      <c r="E29" s="18" t="n">
        <v>46142</v>
      </c>
      <c r="F29" s="18" t="n">
        <v>46137</v>
      </c>
      <c r="G29" s="14"/>
      <c r="H29" s="19" t="n">
        <f aca="false">IF(AND(D29&lt;&gt;"",F29&lt;&gt;""),F29-D29,"")</f>
        <v>31</v>
      </c>
      <c r="I29" s="20" t="n">
        <f aca="false">Данные!I29</f>
        <v>0.730952380952381</v>
      </c>
      <c r="J29" s="14" t="str">
        <f aca="true">IF(I29&gt;=0.995,"закрыто",IF(AND(E29&lt;&gt;"",E29&lt;TODAY()),"агросрок истёк, не закрыто",IF(F29="","не начинали","в работе")))</f>
        <v>агросрок истёк, не закрыто</v>
      </c>
    </row>
    <row r="30" customFormat="false" ht="15" hidden="false" customHeight="false" outlineLevel="0" collapsed="false">
      <c r="A30" s="14" t="s">
        <v>13</v>
      </c>
      <c r="B30" s="14" t="s">
        <v>78</v>
      </c>
      <c r="C30" s="14" t="s">
        <v>70</v>
      </c>
      <c r="D30" s="14"/>
      <c r="E30" s="14"/>
      <c r="F30" s="18" t="n">
        <v>46138</v>
      </c>
      <c r="G30" s="14"/>
      <c r="H30" s="19" t="str">
        <f aca="false">IF(AND(D30&lt;&gt;"",F30&lt;&gt;""),F30-D30,"")</f>
        <v/>
      </c>
      <c r="I30" s="20" t="n">
        <f aca="false">Данные!I30</f>
        <v>0.691275167785235</v>
      </c>
      <c r="J30" s="14" t="str">
        <f aca="true">IF(I30&gt;=0.995,"закрыто",IF(AND(E30&lt;&gt;"",E30&lt;TODAY()),"агросрок истёк, не закрыто",IF(F30="","не начинали","в работе")))</f>
        <v>в работе</v>
      </c>
    </row>
    <row r="31" customFormat="false" ht="15" hidden="false" customHeight="false" outlineLevel="0" collapsed="false">
      <c r="A31" s="14" t="s">
        <v>13</v>
      </c>
      <c r="B31" s="14" t="s">
        <v>73</v>
      </c>
      <c r="C31" s="14" t="s">
        <v>70</v>
      </c>
      <c r="D31" s="18" t="n">
        <v>46026</v>
      </c>
      <c r="E31" s="18" t="n">
        <v>46101</v>
      </c>
      <c r="F31" s="18" t="n">
        <v>46085</v>
      </c>
      <c r="G31" s="14"/>
      <c r="H31" s="19" t="n">
        <f aca="false">IF(AND(D31&lt;&gt;"",F31&lt;&gt;""),F31-D31,"")</f>
        <v>59</v>
      </c>
      <c r="I31" s="20" t="n">
        <f aca="false">Данные!I31</f>
        <v>1</v>
      </c>
      <c r="J31" s="14" t="str">
        <f aca="true">IF(I31&gt;=0.995,"закрыто",IF(AND(E31&lt;&gt;"",E31&lt;TODAY()),"агросрок истёк, не закрыто",IF(F31="","не начинали","в работе")))</f>
        <v>закрыто</v>
      </c>
    </row>
    <row r="32" customFormat="false" ht="15" hidden="false" customHeight="false" outlineLevel="0" collapsed="false">
      <c r="A32" s="14" t="s">
        <v>13</v>
      </c>
      <c r="B32" s="14" t="s">
        <v>79</v>
      </c>
      <c r="C32" s="14" t="s">
        <v>70</v>
      </c>
      <c r="D32" s="18" t="n">
        <v>46113</v>
      </c>
      <c r="E32" s="18" t="n">
        <v>46122</v>
      </c>
      <c r="F32" s="18" t="n">
        <v>46114</v>
      </c>
      <c r="G32" s="18" t="n">
        <v>46119</v>
      </c>
      <c r="H32" s="19" t="n">
        <f aca="false">IF(AND(D32&lt;&gt;"",F32&lt;&gt;""),F32-D32,"")</f>
        <v>1</v>
      </c>
      <c r="I32" s="20" t="n">
        <f aca="false">Данные!I32</f>
        <v>1</v>
      </c>
      <c r="J32" s="14" t="str">
        <f aca="true">IF(I32&gt;=0.995,"закрыто",IF(AND(E32&lt;&gt;"",E32&lt;TODAY()),"агросрок истёк, не закрыто",IF(F32="","не начинали","в работе")))</f>
        <v>закрыто</v>
      </c>
    </row>
    <row r="33" customFormat="false" ht="15" hidden="false" customHeight="false" outlineLevel="0" collapsed="false">
      <c r="A33" s="14" t="s">
        <v>13</v>
      </c>
      <c r="B33" s="14" t="s">
        <v>76</v>
      </c>
      <c r="C33" s="14" t="s">
        <v>70</v>
      </c>
      <c r="D33" s="18" t="n">
        <v>46122</v>
      </c>
      <c r="E33" s="18" t="n">
        <v>46127</v>
      </c>
      <c r="F33" s="18" t="n">
        <v>46130</v>
      </c>
      <c r="G33" s="18" t="n">
        <v>46130</v>
      </c>
      <c r="H33" s="19" t="n">
        <f aca="false">IF(AND(D33&lt;&gt;"",F33&lt;&gt;""),F33-D33,"")</f>
        <v>8</v>
      </c>
      <c r="I33" s="20" t="n">
        <f aca="false">Данные!I33</f>
        <v>1</v>
      </c>
      <c r="J33" s="14" t="str">
        <f aca="true">IF(I33&gt;=0.995,"закрыто",IF(AND(E33&lt;&gt;"",E33&lt;TODAY()),"агросрок истёк, не закрыто",IF(F33="","не начинали","в работе")))</f>
        <v>закрыто</v>
      </c>
    </row>
    <row r="34" customFormat="false" ht="15" hidden="false" customHeight="false" outlineLevel="0" collapsed="false">
      <c r="A34" s="14" t="s">
        <v>13</v>
      </c>
      <c r="B34" s="14" t="s">
        <v>80</v>
      </c>
      <c r="C34" s="14" t="s">
        <v>70</v>
      </c>
      <c r="D34" s="14"/>
      <c r="E34" s="14"/>
      <c r="F34" s="18" t="n">
        <v>46148</v>
      </c>
      <c r="G34" s="14"/>
      <c r="H34" s="19" t="str">
        <f aca="false">IF(AND(D34&lt;&gt;"",F34&lt;&gt;""),F34-D34,"")</f>
        <v/>
      </c>
      <c r="I34" s="20" t="n">
        <f aca="false">Данные!I34</f>
        <v>1</v>
      </c>
      <c r="J34" s="14" t="str">
        <f aca="true">IF(I34&gt;=0.995,"закрыто",IF(AND(E34&lt;&gt;"",E34&lt;TODAY()),"агросрок истёк, не закрыто",IF(F34="","не начинали","в работе")))</f>
        <v>закрыто</v>
      </c>
    </row>
    <row r="35" customFormat="false" ht="15" hidden="false" customHeight="false" outlineLevel="0" collapsed="false">
      <c r="A35" s="14" t="s">
        <v>13</v>
      </c>
      <c r="B35" s="14" t="s">
        <v>75</v>
      </c>
      <c r="C35" s="14" t="s">
        <v>70</v>
      </c>
      <c r="D35" s="14"/>
      <c r="E35" s="14"/>
      <c r="F35" s="18" t="n">
        <v>46117</v>
      </c>
      <c r="G35" s="14"/>
      <c r="H35" s="19" t="str">
        <f aca="false">IF(AND(D35&lt;&gt;"",F35&lt;&gt;""),F35-D35,"")</f>
        <v/>
      </c>
      <c r="I35" s="20" t="n">
        <f aca="false">Данные!I35</f>
        <v>1</v>
      </c>
      <c r="J35" s="14" t="str">
        <f aca="true">IF(I35&gt;=0.995,"закрыто",IF(AND(E35&lt;&gt;"",E35&lt;TODAY()),"агросрок истёк, не закрыто",IF(F35="","не начинали","в работе")))</f>
        <v>закрыто</v>
      </c>
    </row>
    <row r="36" customFormat="false" ht="15" hidden="false" customHeight="false" outlineLevel="0" collapsed="false">
      <c r="A36" s="14" t="s">
        <v>14</v>
      </c>
      <c r="B36" s="14" t="s">
        <v>73</v>
      </c>
      <c r="C36" s="14" t="s">
        <v>70</v>
      </c>
      <c r="D36" s="18" t="n">
        <v>46082</v>
      </c>
      <c r="E36" s="18" t="n">
        <v>46116</v>
      </c>
      <c r="F36" s="18" t="n">
        <v>46082</v>
      </c>
      <c r="G36" s="18" t="n">
        <v>46146</v>
      </c>
      <c r="H36" s="19" t="n">
        <f aca="false">IF(AND(D36&lt;&gt;"",F36&lt;&gt;""),F36-D36,"")</f>
        <v>0</v>
      </c>
      <c r="I36" s="20" t="n">
        <f aca="false">Данные!I36</f>
        <v>1</v>
      </c>
      <c r="J36" s="14" t="str">
        <f aca="true">IF(I36&gt;=0.995,"закрыто",IF(AND(E36&lt;&gt;"",E36&lt;TODAY()),"агросрок истёк, не закрыто",IF(F36="","не начинали","в работе")))</f>
        <v>закрыто</v>
      </c>
    </row>
    <row r="37" customFormat="false" ht="15" hidden="false" customHeight="false" outlineLevel="0" collapsed="false">
      <c r="A37" s="14" t="s">
        <v>14</v>
      </c>
      <c r="B37" s="14" t="s">
        <v>74</v>
      </c>
      <c r="C37" s="14" t="s">
        <v>70</v>
      </c>
      <c r="D37" s="18" t="n">
        <v>46111</v>
      </c>
      <c r="E37" s="18" t="n">
        <v>46147</v>
      </c>
      <c r="F37" s="18" t="n">
        <v>46113</v>
      </c>
      <c r="G37" s="18" t="n">
        <v>46148</v>
      </c>
      <c r="H37" s="19" t="n">
        <f aca="false">IF(AND(D37&lt;&gt;"",F37&lt;&gt;""),F37-D37,"")</f>
        <v>2</v>
      </c>
      <c r="I37" s="20" t="n">
        <f aca="false">Данные!I37</f>
        <v>1</v>
      </c>
      <c r="J37" s="14" t="str">
        <f aca="true">IF(I37&gt;=0.995,"закрыто",IF(AND(E37&lt;&gt;"",E37&lt;TODAY()),"агросрок истёк, не закрыто",IF(F37="","не начинали","в работе")))</f>
        <v>закрыто</v>
      </c>
    </row>
    <row r="38" customFormat="false" ht="15" hidden="false" customHeight="false" outlineLevel="0" collapsed="false">
      <c r="A38" s="14" t="s">
        <v>14</v>
      </c>
      <c r="B38" s="14" t="s">
        <v>74</v>
      </c>
      <c r="C38" s="14" t="s">
        <v>81</v>
      </c>
      <c r="D38" s="18" t="n">
        <v>46117</v>
      </c>
      <c r="E38" s="18" t="n">
        <v>46124</v>
      </c>
      <c r="F38" s="18" t="n">
        <v>46117</v>
      </c>
      <c r="G38" s="18" t="n">
        <v>46128</v>
      </c>
      <c r="H38" s="19" t="n">
        <f aca="false">IF(AND(D38&lt;&gt;"",F38&lt;&gt;""),F38-D38,"")</f>
        <v>0</v>
      </c>
      <c r="I38" s="20" t="n">
        <f aca="false">Данные!I38</f>
        <v>1</v>
      </c>
      <c r="J38" s="14" t="str">
        <f aca="true">IF(I38&gt;=0.995,"закрыто",IF(AND(E38&lt;&gt;"",E38&lt;TODAY()),"агросрок истёк, не закрыто",IF(F38="","не начинали","в работе")))</f>
        <v>закрыто</v>
      </c>
    </row>
    <row r="39" customFormat="false" ht="15" hidden="false" customHeight="false" outlineLevel="0" collapsed="false">
      <c r="A39" s="14" t="s">
        <v>14</v>
      </c>
      <c r="B39" s="14" t="s">
        <v>74</v>
      </c>
      <c r="C39" s="14" t="s">
        <v>82</v>
      </c>
      <c r="D39" s="18" t="n">
        <v>46125</v>
      </c>
      <c r="E39" s="18" t="n">
        <v>46138</v>
      </c>
      <c r="F39" s="18" t="n">
        <v>46129</v>
      </c>
      <c r="G39" s="18" t="n">
        <v>46141</v>
      </c>
      <c r="H39" s="19" t="n">
        <f aca="false">IF(AND(D39&lt;&gt;"",F39&lt;&gt;""),F39-D39,"")</f>
        <v>4</v>
      </c>
      <c r="I39" s="20" t="n">
        <f aca="false">Данные!I39</f>
        <v>0.999863685932388</v>
      </c>
      <c r="J39" s="14" t="str">
        <f aca="true">IF(I39&gt;=0.995,"закрыто",IF(AND(E39&lt;&gt;"",E39&lt;TODAY()),"агросрок истёк, не закрыто",IF(F39="","не начинали","в работе")))</f>
        <v>закрыто</v>
      </c>
    </row>
    <row r="40" customFormat="false" ht="15" hidden="false" customHeight="false" outlineLevel="0" collapsed="false">
      <c r="A40" s="14" t="s">
        <v>15</v>
      </c>
      <c r="B40" s="14" t="s">
        <v>75</v>
      </c>
      <c r="C40" s="14" t="s">
        <v>70</v>
      </c>
      <c r="D40" s="14"/>
      <c r="E40" s="14"/>
      <c r="F40" s="18" t="n">
        <v>46117</v>
      </c>
      <c r="G40" s="18" t="n">
        <v>46131</v>
      </c>
      <c r="H40" s="19" t="str">
        <f aca="false">IF(AND(D40&lt;&gt;"",F40&lt;&gt;""),F40-D40,"")</f>
        <v/>
      </c>
      <c r="I40" s="20" t="n">
        <f aca="false">Данные!I40</f>
        <v>1</v>
      </c>
      <c r="J40" s="14" t="str">
        <f aca="true">IF(I40&gt;=0.995,"закрыто",IF(AND(E40&lt;&gt;"",E40&lt;TODAY()),"агросрок истёк, не закрыто",IF(F40="","не начинали","в работе")))</f>
        <v>закрыто</v>
      </c>
    </row>
    <row r="41" customFormat="false" ht="15" hidden="false" customHeight="false" outlineLevel="0" collapsed="false">
      <c r="A41" s="14" t="s">
        <v>15</v>
      </c>
      <c r="B41" s="14" t="s">
        <v>76</v>
      </c>
      <c r="C41" s="14" t="s">
        <v>70</v>
      </c>
      <c r="D41" s="14"/>
      <c r="E41" s="14"/>
      <c r="F41" s="18" t="n">
        <v>46130</v>
      </c>
      <c r="G41" s="18" t="n">
        <v>46132</v>
      </c>
      <c r="H41" s="19" t="str">
        <f aca="false">IF(AND(D41&lt;&gt;"",F41&lt;&gt;""),F41-D41,"")</f>
        <v/>
      </c>
      <c r="I41" s="20" t="n">
        <f aca="false">Данные!I41</f>
        <v>1</v>
      </c>
      <c r="J41" s="14" t="str">
        <f aca="true">IF(I41&gt;=0.995,"закрыто",IF(AND(E41&lt;&gt;"",E41&lt;TODAY()),"агросрок истёк, не закрыто",IF(F41="","не начинали","в работе")))</f>
        <v>закрыто</v>
      </c>
    </row>
    <row r="42" customFormat="false" ht="15" hidden="false" customHeight="false" outlineLevel="0" collapsed="false">
      <c r="A42" s="14" t="s">
        <v>15</v>
      </c>
      <c r="B42" s="14" t="s">
        <v>78</v>
      </c>
      <c r="C42" s="14" t="s">
        <v>70</v>
      </c>
      <c r="D42" s="14"/>
      <c r="E42" s="14"/>
      <c r="F42" s="18" t="n">
        <v>46165</v>
      </c>
      <c r="G42" s="14"/>
      <c r="H42" s="19" t="str">
        <f aca="false">IF(AND(D42&lt;&gt;"",F42&lt;&gt;""),F42-D42,"")</f>
        <v/>
      </c>
      <c r="I42" s="20" t="n">
        <f aca="false">Данные!I42</f>
        <v>0.563758389261745</v>
      </c>
      <c r="J42" s="14" t="str">
        <f aca="true">IF(I42&gt;=0.995,"закрыто",IF(AND(E42&lt;&gt;"",E42&lt;TODAY()),"агросрок истёк, не закрыто",IF(F42="","не начинали","в работе")))</f>
        <v>в работе</v>
      </c>
    </row>
    <row r="43" customFormat="false" ht="15" hidden="false" customHeight="false" outlineLevel="0" collapsed="false">
      <c r="A43" s="14" t="s">
        <v>16</v>
      </c>
      <c r="B43" s="14" t="s">
        <v>83</v>
      </c>
      <c r="C43" s="14" t="s">
        <v>70</v>
      </c>
      <c r="D43" s="14"/>
      <c r="E43" s="14"/>
      <c r="F43" s="18" t="n">
        <v>46135</v>
      </c>
      <c r="G43" s="18" t="n">
        <v>46137</v>
      </c>
      <c r="H43" s="19" t="str">
        <f aca="false">IF(AND(D43&lt;&gt;"",F43&lt;&gt;""),F43-D43,"")</f>
        <v/>
      </c>
      <c r="I43" s="20" t="n">
        <f aca="false">Данные!I43</f>
        <v>1</v>
      </c>
      <c r="J43" s="14" t="str">
        <f aca="true">IF(I43&gt;=0.995,"закрыто",IF(AND(E43&lt;&gt;"",E43&lt;TODAY()),"агросрок истёк, не закрыто",IF(F43="","не начинали","в работе")))</f>
        <v>закрыто</v>
      </c>
    </row>
    <row r="44" customFormat="false" ht="15" hidden="false" customHeight="false" outlineLevel="0" collapsed="false">
      <c r="A44" s="14" t="s">
        <v>16</v>
      </c>
      <c r="B44" s="14" t="s">
        <v>74</v>
      </c>
      <c r="C44" s="14" t="s">
        <v>70</v>
      </c>
      <c r="D44" s="18" t="n">
        <v>46027</v>
      </c>
      <c r="E44" s="18" t="n">
        <v>46101</v>
      </c>
      <c r="F44" s="18" t="n">
        <v>46086</v>
      </c>
      <c r="G44" s="14"/>
      <c r="H44" s="19" t="n">
        <f aca="false">IF(AND(D44&lt;&gt;"",F44&lt;&gt;""),F44-D44,"")</f>
        <v>59</v>
      </c>
      <c r="I44" s="20" t="n">
        <f aca="false">Данные!I44</f>
        <v>0.478571428571429</v>
      </c>
      <c r="J44" s="14" t="str">
        <f aca="true">IF(I44&gt;=0.995,"закрыто",IF(AND(E44&lt;&gt;"",E44&lt;TODAY()),"агросрок истёк, не закрыто",IF(F44="","не начинали","в работе")))</f>
        <v>агросрок истёк, не закрыто</v>
      </c>
    </row>
    <row r="45" customFormat="false" ht="15" hidden="false" customHeight="false" outlineLevel="0" collapsed="false">
      <c r="A45" s="14" t="s">
        <v>16</v>
      </c>
      <c r="B45" s="14" t="s">
        <v>78</v>
      </c>
      <c r="C45" s="14" t="s">
        <v>70</v>
      </c>
      <c r="D45" s="18" t="n">
        <v>46093</v>
      </c>
      <c r="E45" s="18" t="n">
        <v>46101</v>
      </c>
      <c r="F45" s="18" t="n">
        <v>46093</v>
      </c>
      <c r="G45" s="18" t="n">
        <v>46101</v>
      </c>
      <c r="H45" s="19" t="n">
        <f aca="false">IF(AND(D45&lt;&gt;"",F45&lt;&gt;""),F45-D45,"")</f>
        <v>0</v>
      </c>
      <c r="I45" s="20" t="n">
        <f aca="false">Данные!I45</f>
        <v>1</v>
      </c>
      <c r="J45" s="14" t="str">
        <f aca="true">IF(I45&gt;=0.995,"закрыто",IF(AND(E45&lt;&gt;"",E45&lt;TODAY()),"агросрок истёк, не закрыто",IF(F45="","не начинали","в работе")))</f>
        <v>закрыто</v>
      </c>
    </row>
    <row r="46" customFormat="false" ht="15" hidden="false" customHeight="false" outlineLevel="0" collapsed="false">
      <c r="A46" s="14" t="s">
        <v>16</v>
      </c>
      <c r="B46" s="14" t="s">
        <v>76</v>
      </c>
      <c r="C46" s="14" t="s">
        <v>70</v>
      </c>
      <c r="D46" s="14"/>
      <c r="E46" s="14"/>
      <c r="F46" s="18" t="n">
        <v>46094</v>
      </c>
      <c r="G46" s="14"/>
      <c r="H46" s="19" t="str">
        <f aca="false">IF(AND(D46&lt;&gt;"",F46&lt;&gt;""),F46-D46,"")</f>
        <v/>
      </c>
      <c r="I46" s="20" t="n">
        <f aca="false">Данные!I46</f>
        <v>0.524647887323944</v>
      </c>
      <c r="J46" s="14" t="str">
        <f aca="true">IF(I46&gt;=0.995,"закрыто",IF(AND(E46&lt;&gt;"",E46&lt;TODAY()),"агросрок истёк, не закрыто",IF(F46="","не начинали","в работе")))</f>
        <v>в работе</v>
      </c>
    </row>
    <row r="47" customFormat="false" ht="15" hidden="false" customHeight="false" outlineLevel="0" collapsed="false">
      <c r="A47" s="14" t="s">
        <v>16</v>
      </c>
      <c r="B47" s="14" t="s">
        <v>79</v>
      </c>
      <c r="C47" s="14" t="s">
        <v>70</v>
      </c>
      <c r="D47" s="14"/>
      <c r="E47" s="14"/>
      <c r="F47" s="18" t="n">
        <v>46095</v>
      </c>
      <c r="G47" s="14"/>
      <c r="H47" s="19" t="str">
        <f aca="false">IF(AND(D47&lt;&gt;"",F47&lt;&gt;""),F47-D47,"")</f>
        <v/>
      </c>
      <c r="I47" s="20" t="str">
        <f aca="false">Данные!I47</f>
        <v/>
      </c>
      <c r="J47" s="14" t="str">
        <f aca="true">IF(I47&gt;=0.995,"закрыто",IF(AND(E47&lt;&gt;"",E47&lt;TODAY()),"агросрок истёк, не закрыто",IF(F47="","не начинали","в работе")))</f>
        <v>закрыто</v>
      </c>
    </row>
    <row r="48" customFormat="false" ht="15" hidden="false" customHeight="false" outlineLevel="0" collapsed="false">
      <c r="A48" s="14" t="s">
        <v>17</v>
      </c>
      <c r="B48" s="14" t="s">
        <v>83</v>
      </c>
      <c r="C48" s="14" t="s">
        <v>70</v>
      </c>
      <c r="D48" s="14"/>
      <c r="E48" s="14"/>
      <c r="F48" s="18" t="n">
        <v>46135</v>
      </c>
      <c r="G48" s="18" t="n">
        <v>46137</v>
      </c>
      <c r="H48" s="19" t="str">
        <f aca="false">IF(AND(D48&lt;&gt;"",F48&lt;&gt;""),F48-D48,"")</f>
        <v/>
      </c>
      <c r="I48" s="20" t="n">
        <f aca="false">Данные!I48</f>
        <v>1</v>
      </c>
      <c r="J48" s="14" t="str">
        <f aca="true">IF(I48&gt;=0.995,"закрыто",IF(AND(E48&lt;&gt;"",E48&lt;TODAY()),"агросрок истёк, не закрыто",IF(F48="","не начинали","в работе")))</f>
        <v>закрыто</v>
      </c>
    </row>
    <row r="49" customFormat="false" ht="15" hidden="false" customHeight="false" outlineLevel="0" collapsed="false">
      <c r="A49" s="14" t="s">
        <v>17</v>
      </c>
      <c r="B49" s="14" t="s">
        <v>74</v>
      </c>
      <c r="C49" s="14" t="s">
        <v>70</v>
      </c>
      <c r="D49" s="18" t="n">
        <v>46027</v>
      </c>
      <c r="E49" s="18" t="n">
        <v>46101</v>
      </c>
      <c r="F49" s="18" t="n">
        <v>46086</v>
      </c>
      <c r="G49" s="14"/>
      <c r="H49" s="19" t="n">
        <f aca="false">IF(AND(D49&lt;&gt;"",F49&lt;&gt;""),F49-D49,"")</f>
        <v>59</v>
      </c>
      <c r="I49" s="20" t="n">
        <f aca="false">Данные!I49</f>
        <v>0.478571428571429</v>
      </c>
      <c r="J49" s="14" t="str">
        <f aca="true">IF(I49&gt;=0.995,"закрыто",IF(AND(E49&lt;&gt;"",E49&lt;TODAY()),"агросрок истёк, не закрыто",IF(F49="","не начинали","в работе")))</f>
        <v>агросрок истёк, не закрыто</v>
      </c>
    </row>
    <row r="50" customFormat="false" ht="15" hidden="false" customHeight="false" outlineLevel="0" collapsed="false">
      <c r="A50" s="14" t="s">
        <v>17</v>
      </c>
      <c r="B50" s="14" t="s">
        <v>78</v>
      </c>
      <c r="C50" s="14" t="s">
        <v>70</v>
      </c>
      <c r="D50" s="18" t="n">
        <v>46093</v>
      </c>
      <c r="E50" s="18" t="n">
        <v>46101</v>
      </c>
      <c r="F50" s="18" t="n">
        <v>46093</v>
      </c>
      <c r="G50" s="18" t="n">
        <v>46101</v>
      </c>
      <c r="H50" s="19" t="n">
        <f aca="false">IF(AND(D50&lt;&gt;"",F50&lt;&gt;""),F50-D50,"")</f>
        <v>0</v>
      </c>
      <c r="I50" s="20" t="n">
        <f aca="false">Данные!I50</f>
        <v>1</v>
      </c>
      <c r="J50" s="14" t="str">
        <f aca="true">IF(I50&gt;=0.995,"закрыто",IF(AND(E50&lt;&gt;"",E50&lt;TODAY()),"агросрок истёк, не закрыто",IF(F50="","не начинали","в работе")))</f>
        <v>закрыто</v>
      </c>
    </row>
    <row r="51" customFormat="false" ht="15" hidden="false" customHeight="false" outlineLevel="0" collapsed="false">
      <c r="A51" s="14" t="s">
        <v>17</v>
      </c>
      <c r="B51" s="14" t="s">
        <v>76</v>
      </c>
      <c r="C51" s="14" t="s">
        <v>70</v>
      </c>
      <c r="D51" s="14"/>
      <c r="E51" s="14"/>
      <c r="F51" s="18" t="n">
        <v>46094</v>
      </c>
      <c r="G51" s="14"/>
      <c r="H51" s="19" t="str">
        <f aca="false">IF(AND(D51&lt;&gt;"",F51&lt;&gt;""),F51-D51,"")</f>
        <v/>
      </c>
      <c r="I51" s="20" t="n">
        <f aca="false">Данные!I51</f>
        <v>0.524647887323944</v>
      </c>
      <c r="J51" s="14" t="str">
        <f aca="true">IF(I51&gt;=0.995,"закрыто",IF(AND(E51&lt;&gt;"",E51&lt;TODAY()),"агросрок истёк, не закрыто",IF(F51="","не начинали","в работе")))</f>
        <v>в работе</v>
      </c>
    </row>
    <row r="52" customFormat="false" ht="15" hidden="false" customHeight="false" outlineLevel="0" collapsed="false">
      <c r="A52" s="14" t="s">
        <v>17</v>
      </c>
      <c r="B52" s="14" t="s">
        <v>79</v>
      </c>
      <c r="C52" s="14" t="s">
        <v>70</v>
      </c>
      <c r="D52" s="14"/>
      <c r="E52" s="14"/>
      <c r="F52" s="18" t="n">
        <v>46095</v>
      </c>
      <c r="G52" s="14"/>
      <c r="H52" s="19" t="str">
        <f aca="false">IF(AND(D52&lt;&gt;"",F52&lt;&gt;""),F52-D52,"")</f>
        <v/>
      </c>
      <c r="I52" s="20" t="str">
        <f aca="false">Данные!I52</f>
        <v/>
      </c>
      <c r="J52" s="14" t="str">
        <f aca="true">IF(I52&gt;=0.995,"закрыто",IF(AND(E52&lt;&gt;"",E52&lt;TODAY()),"агросрок истёк, не закрыто",IF(F52="","не начинали","в работе")))</f>
        <v>закрыто</v>
      </c>
    </row>
    <row r="53" customFormat="false" ht="15" hidden="false" customHeight="false" outlineLevel="0" collapsed="false">
      <c r="A53" s="14" t="s">
        <v>18</v>
      </c>
      <c r="B53" s="14" t="s">
        <v>77</v>
      </c>
      <c r="C53" s="14" t="s">
        <v>70</v>
      </c>
      <c r="D53" s="14"/>
      <c r="E53" s="14"/>
      <c r="F53" s="18" t="n">
        <v>46147</v>
      </c>
      <c r="G53" s="14"/>
      <c r="H53" s="19" t="str">
        <f aca="false">IF(AND(D53&lt;&gt;"",F53&lt;&gt;""),F53-D53,"")</f>
        <v/>
      </c>
      <c r="I53" s="20" t="n">
        <f aca="false">Данные!I53</f>
        <v>1</v>
      </c>
      <c r="J53" s="14" t="str">
        <f aca="true">IF(I53&gt;=0.995,"закрыто",IF(AND(E53&lt;&gt;"",E53&lt;TODAY()),"агросрок истёк, не закрыто",IF(F53="","не начинали","в работе")))</f>
        <v>закрыто</v>
      </c>
    </row>
    <row r="54" customFormat="false" ht="15" hidden="false" customHeight="false" outlineLevel="0" collapsed="false">
      <c r="A54" s="14" t="s">
        <v>18</v>
      </c>
      <c r="B54" s="14" t="s">
        <v>84</v>
      </c>
      <c r="C54" s="14" t="s">
        <v>85</v>
      </c>
      <c r="D54" s="14"/>
      <c r="E54" s="14"/>
      <c r="F54" s="18" t="n">
        <v>46150</v>
      </c>
      <c r="G54" s="18" t="n">
        <v>46165</v>
      </c>
      <c r="H54" s="19" t="str">
        <f aca="false">IF(AND(D54&lt;&gt;"",F54&lt;&gt;""),F54-D54,"")</f>
        <v/>
      </c>
      <c r="I54" s="20" t="n">
        <f aca="false">Данные!I54</f>
        <v>1</v>
      </c>
      <c r="J54" s="14" t="str">
        <f aca="true">IF(I54&gt;=0.995,"закрыто",IF(AND(E54&lt;&gt;"",E54&lt;TODAY()),"агросрок истёк, не закрыто",IF(F54="","не начинали","в работе")))</f>
        <v>закрыто</v>
      </c>
    </row>
    <row r="55" customFormat="false" ht="15" hidden="false" customHeight="false" outlineLevel="0" collapsed="false">
      <c r="A55" s="14" t="s">
        <v>18</v>
      </c>
      <c r="B55" s="14" t="s">
        <v>86</v>
      </c>
      <c r="C55" s="14" t="s">
        <v>87</v>
      </c>
      <c r="D55" s="14"/>
      <c r="E55" s="14"/>
      <c r="F55" s="14"/>
      <c r="G55" s="14"/>
      <c r="H55" s="19" t="str">
        <f aca="false">IF(AND(D55&lt;&gt;"",F55&lt;&gt;""),F55-D55,"")</f>
        <v/>
      </c>
      <c r="I55" s="20" t="n">
        <f aca="false">Данные!I55</f>
        <v>0</v>
      </c>
      <c r="J55" s="14" t="str">
        <f aca="true">IF(I55&gt;=0.995,"закрыто",IF(AND(E55&lt;&gt;"",E55&lt;TODAY()),"агросрок истёк, не закрыто",IF(F55="","не начинали","в работе")))</f>
        <v>не начинали</v>
      </c>
    </row>
    <row r="56" customFormat="false" ht="15" hidden="false" customHeight="false" outlineLevel="0" collapsed="false">
      <c r="A56" s="14" t="s">
        <v>18</v>
      </c>
      <c r="B56" s="14" t="s">
        <v>88</v>
      </c>
      <c r="C56" s="14" t="s">
        <v>87</v>
      </c>
      <c r="D56" s="14"/>
      <c r="E56" s="14"/>
      <c r="F56" s="18" t="n">
        <v>46166</v>
      </c>
      <c r="G56" s="14"/>
      <c r="H56" s="19" t="str">
        <f aca="false">IF(AND(D56&lt;&gt;"",F56&lt;&gt;""),F56-D56,"")</f>
        <v/>
      </c>
      <c r="I56" s="20" t="n">
        <f aca="false">Данные!I56</f>
        <v>0.54945054945055</v>
      </c>
      <c r="J56" s="14" t="str">
        <f aca="true">IF(I56&gt;=0.995,"закрыто",IF(AND(E56&lt;&gt;"",E56&lt;TODAY()),"агросрок истёк, не закрыто",IF(F56="","не начинали","в работе")))</f>
        <v>в работе</v>
      </c>
    </row>
    <row r="57" customFormat="false" ht="15" hidden="false" customHeight="false" outlineLevel="0" collapsed="false">
      <c r="A57" s="14" t="s">
        <v>19</v>
      </c>
      <c r="B57" s="14" t="s">
        <v>73</v>
      </c>
      <c r="C57" s="14" t="s">
        <v>70</v>
      </c>
      <c r="D57" s="18" t="n">
        <v>46084</v>
      </c>
      <c r="E57" s="18" t="n">
        <v>46104</v>
      </c>
      <c r="F57" s="18" t="n">
        <v>46084</v>
      </c>
      <c r="G57" s="14"/>
      <c r="H57" s="19" t="n">
        <f aca="false">IF(AND(D57&lt;&gt;"",F57&lt;&gt;""),F57-D57,"")</f>
        <v>0</v>
      </c>
      <c r="I57" s="20" t="n">
        <f aca="false">Данные!I57</f>
        <v>0.1426735218509</v>
      </c>
      <c r="J57" s="14" t="str">
        <f aca="true">IF(I57&gt;=0.995,"закрыто",IF(AND(E57&lt;&gt;"",E57&lt;TODAY()),"агросрок истёк, не закрыто",IF(F57="","не начинали","в работе")))</f>
        <v>агросрок истёк, не закрыто</v>
      </c>
    </row>
    <row r="58" customFormat="false" ht="15" hidden="false" customHeight="false" outlineLevel="0" collapsed="false">
      <c r="A58" s="14" t="s">
        <v>20</v>
      </c>
      <c r="B58" s="14" t="s">
        <v>78</v>
      </c>
      <c r="C58" s="14" t="s">
        <v>70</v>
      </c>
      <c r="D58" s="14"/>
      <c r="E58" s="14"/>
      <c r="F58" s="18" t="n">
        <v>46105</v>
      </c>
      <c r="G58" s="18" t="n">
        <v>46111</v>
      </c>
      <c r="H58" s="19" t="str">
        <f aca="false">IF(AND(D58&lt;&gt;"",F58&lt;&gt;""),F58-D58,"")</f>
        <v/>
      </c>
      <c r="I58" s="20" t="n">
        <f aca="false">Данные!I58</f>
        <v>1</v>
      </c>
      <c r="J58" s="14" t="str">
        <f aca="true">IF(I58&gt;=0.995,"закрыто",IF(AND(E58&lt;&gt;"",E58&lt;TODAY()),"агросрок истёк, не закрыто",IF(F58="","не начинали","в работе")))</f>
        <v>закрыто</v>
      </c>
    </row>
    <row r="59" customFormat="false" ht="15" hidden="false" customHeight="false" outlineLevel="0" collapsed="false">
      <c r="A59" s="14" t="s">
        <v>20</v>
      </c>
      <c r="B59" s="14" t="s">
        <v>74</v>
      </c>
      <c r="C59" s="14" t="s">
        <v>70</v>
      </c>
      <c r="D59" s="14"/>
      <c r="E59" s="14"/>
      <c r="F59" s="18" t="n">
        <v>46144</v>
      </c>
      <c r="G59" s="14"/>
      <c r="H59" s="19" t="str">
        <f aca="false">IF(AND(D59&lt;&gt;"",F59&lt;&gt;""),F59-D59,"")</f>
        <v/>
      </c>
      <c r="I59" s="20" t="n">
        <f aca="false">Данные!I59</f>
        <v>0.128571428571429</v>
      </c>
      <c r="J59" s="14" t="str">
        <f aca="true">IF(I59&gt;=0.995,"закрыто",IF(AND(E59&lt;&gt;"",E59&lt;TODAY()),"агросрок истёк, не закрыто",IF(F59="","не начинали","в работе")))</f>
        <v>в работе</v>
      </c>
    </row>
    <row r="60" customFormat="false" ht="15" hidden="false" customHeight="false" outlineLevel="0" collapsed="false">
      <c r="A60" s="14" t="s">
        <v>21</v>
      </c>
      <c r="B60" s="14" t="s">
        <v>78</v>
      </c>
      <c r="C60" s="14" t="s">
        <v>70</v>
      </c>
      <c r="D60" s="14"/>
      <c r="E60" s="14"/>
      <c r="F60" s="18" t="n">
        <v>46150</v>
      </c>
      <c r="G60" s="18" t="n">
        <v>46164</v>
      </c>
      <c r="H60" s="19" t="str">
        <f aca="false">IF(AND(D60&lt;&gt;"",F60&lt;&gt;""),F60-D60,"")</f>
        <v/>
      </c>
      <c r="I60" s="20" t="n">
        <f aca="false">Данные!I60</f>
        <v>1</v>
      </c>
      <c r="J60" s="14" t="str">
        <f aca="true">IF(I60&gt;=0.995,"закрыто",IF(AND(E60&lt;&gt;"",E60&lt;TODAY()),"агросрок истёк, не закрыто",IF(F60="","не начинали","в работе")))</f>
        <v>закрыто</v>
      </c>
    </row>
    <row r="61" customFormat="false" ht="15" hidden="false" customHeight="false" outlineLevel="0" collapsed="false">
      <c r="A61" s="14" t="s">
        <v>21</v>
      </c>
      <c r="B61" s="14" t="s">
        <v>78</v>
      </c>
      <c r="C61" s="14" t="s">
        <v>70</v>
      </c>
      <c r="D61" s="14"/>
      <c r="E61" s="14"/>
      <c r="F61" s="18" t="n">
        <v>46165</v>
      </c>
      <c r="G61" s="14"/>
      <c r="H61" s="19" t="str">
        <f aca="false">IF(AND(D61&lt;&gt;"",F61&lt;&gt;""),F61-D61,"")</f>
        <v/>
      </c>
      <c r="I61" s="20" t="n">
        <f aca="false">Данные!I61</f>
        <v>0.389261744966443</v>
      </c>
      <c r="J61" s="14" t="str">
        <f aca="true">IF(I61&gt;=0.995,"закрыто",IF(AND(E61&lt;&gt;"",E61&lt;TODAY()),"агросрок истёк, не закрыто",IF(F61="","не начинали","в работе")))</f>
        <v>в работе</v>
      </c>
    </row>
    <row r="62" customFormat="false" ht="15" hidden="false" customHeight="false" outlineLevel="0" collapsed="false">
      <c r="A62" s="14" t="s">
        <v>22</v>
      </c>
      <c r="B62" s="14" t="s">
        <v>78</v>
      </c>
      <c r="C62" s="14" t="s">
        <v>70</v>
      </c>
      <c r="D62" s="18" t="n">
        <v>46045</v>
      </c>
      <c r="E62" s="18" t="n">
        <v>46073</v>
      </c>
      <c r="F62" s="18" t="n">
        <v>46045</v>
      </c>
      <c r="G62" s="14"/>
      <c r="H62" s="19" t="n">
        <f aca="false">IF(AND(D62&lt;&gt;"",F62&lt;&gt;""),F62-D62,"")</f>
        <v>0</v>
      </c>
      <c r="I62" s="20" t="n">
        <f aca="false">Данные!I62</f>
        <v>0.725352112676056</v>
      </c>
      <c r="J62" s="14" t="str">
        <f aca="true">IF(I62&gt;=0.995,"закрыто",IF(AND(E62&lt;&gt;"",E62&lt;TODAY()),"агросрок истёк, не закрыто",IF(F62="","не начинали","в работе")))</f>
        <v>агросрок истёк, не закрыто</v>
      </c>
    </row>
  </sheetData>
  <autoFilter ref="A4:J62"/>
  <mergeCells count="2">
    <mergeCell ref="A1:J1"/>
    <mergeCell ref="A2:J2"/>
  </mergeCells>
  <conditionalFormatting sqref="H5:H62">
    <cfRule type="cellIs" priority="2" operator="greaterThan" aboveAverage="0" equalAverage="0" bottom="0" percent="0" rank="0" text="" dxfId="6">
      <formula>0</formula>
    </cfRule>
  </conditionalFormatting>
  <conditionalFormatting sqref="I5:I62">
    <cfRule type="dataBar" priority="3">
      <dataBar showValue="1" minLength="10" maxLength="90">
        <cfvo type="num" val="0"/>
        <cfvo type="num" val="1"/>
        <color rgb="FF2E6B41"/>
      </dataBar>
      <extLst>
        <ext xmlns:x14="http://schemas.microsoft.com/office/spreadsheetml/2009/9/main" uri="{B025F937-C7B1-47D3-B67F-A62EFF666E3E}">
          <x14:id>{31DE25ED-33A6-4AD7-9CA7-F6BCB88F7E4A}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1DE25ED-33A6-4AD7-9CA7-F6BCB88F7E4A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E6B41"/>
              <x14:axisColor rgb="FF000000"/>
            </x14:dataBar>
          </x14:cfRule>
          <xm:sqref>I5:I62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8" min="6" style="0" width="11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13"/>
    <col collapsed="false" customWidth="true" hidden="false" outlineLevel="0" max="13" min="13" style="0" width="14"/>
    <col collapsed="false" customWidth="true" hidden="false" outlineLevel="0" max="14" min="14" style="0" width="11"/>
  </cols>
  <sheetData>
    <row r="1" customFormat="false" ht="21.75" hidden="false" customHeight="true" outlineLevel="0" collapsed="false">
      <c r="A1" s="1" t="s">
        <v>89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90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0" hidden="false" customHeight="true" outlineLevel="0" collapsed="false">
      <c r="A4" s="3" t="s">
        <v>91</v>
      </c>
      <c r="B4" s="3" t="s">
        <v>2</v>
      </c>
      <c r="C4" s="3" t="s">
        <v>92</v>
      </c>
      <c r="D4" s="3" t="s">
        <v>61</v>
      </c>
      <c r="E4" s="3" t="s">
        <v>62</v>
      </c>
      <c r="F4" s="3" t="s">
        <v>3</v>
      </c>
      <c r="G4" s="3" t="s">
        <v>4</v>
      </c>
      <c r="H4" s="3" t="s">
        <v>5</v>
      </c>
      <c r="I4" s="3" t="s">
        <v>93</v>
      </c>
      <c r="J4" s="3" t="s">
        <v>63</v>
      </c>
      <c r="K4" s="3" t="s">
        <v>64</v>
      </c>
      <c r="L4" s="3" t="s">
        <v>65</v>
      </c>
      <c r="M4" s="3" t="s">
        <v>66</v>
      </c>
      <c r="N4" s="3" t="s">
        <v>94</v>
      </c>
    </row>
    <row r="5" customFormat="false" ht="15" hidden="false" customHeight="false" outlineLevel="0" collapsed="false">
      <c r="A5" s="14" t="s">
        <v>95</v>
      </c>
      <c r="B5" s="14" t="s">
        <v>9</v>
      </c>
      <c r="C5" s="14" t="s">
        <v>96</v>
      </c>
      <c r="D5" s="14" t="s">
        <v>69</v>
      </c>
      <c r="E5" s="14" t="s">
        <v>70</v>
      </c>
      <c r="F5" s="21" t="n">
        <v>3798</v>
      </c>
      <c r="G5" s="21" t="n">
        <v>3776</v>
      </c>
      <c r="H5" s="21" t="n">
        <f aca="false">F5-G5</f>
        <v>22</v>
      </c>
      <c r="I5" s="20" t="n">
        <f aca="false">IFERROR(G5/F5,"")</f>
        <v>0.9942074776198</v>
      </c>
      <c r="J5" s="18"/>
      <c r="K5" s="18"/>
      <c r="L5" s="18" t="n">
        <v>46113</v>
      </c>
      <c r="M5" s="18" t="n">
        <v>46135</v>
      </c>
      <c r="N5" s="14" t="n">
        <v>25</v>
      </c>
    </row>
    <row r="6" customFormat="false" ht="15" hidden="false" customHeight="false" outlineLevel="0" collapsed="false">
      <c r="A6" s="14" t="s">
        <v>95</v>
      </c>
      <c r="B6" s="14" t="s">
        <v>9</v>
      </c>
      <c r="C6" s="14" t="s">
        <v>97</v>
      </c>
      <c r="D6" s="14" t="s">
        <v>69</v>
      </c>
      <c r="E6" s="14" t="s">
        <v>70</v>
      </c>
      <c r="F6" s="21" t="n">
        <v>3798</v>
      </c>
      <c r="G6" s="21" t="n">
        <v>3724</v>
      </c>
      <c r="H6" s="21" t="n">
        <f aca="false">F6-G6</f>
        <v>74</v>
      </c>
      <c r="I6" s="20" t="n">
        <f aca="false">IFERROR(G6/F6,"")</f>
        <v>0.980516061084782</v>
      </c>
      <c r="J6" s="18"/>
      <c r="K6" s="18"/>
      <c r="L6" s="18" t="n">
        <v>46137</v>
      </c>
      <c r="M6" s="18" t="n">
        <v>46152</v>
      </c>
      <c r="N6" s="14" t="n">
        <v>26</v>
      </c>
    </row>
    <row r="7" customFormat="false" ht="15" hidden="false" customHeight="false" outlineLevel="0" collapsed="false">
      <c r="A7" s="14" t="s">
        <v>95</v>
      </c>
      <c r="B7" s="14" t="s">
        <v>9</v>
      </c>
      <c r="C7" s="14" t="s">
        <v>98</v>
      </c>
      <c r="D7" s="14" t="s">
        <v>69</v>
      </c>
      <c r="E7" s="14" t="s">
        <v>70</v>
      </c>
      <c r="F7" s="21" t="n">
        <v>239</v>
      </c>
      <c r="G7" s="21" t="n">
        <v>239</v>
      </c>
      <c r="H7" s="21" t="n">
        <f aca="false">F7-G7</f>
        <v>0</v>
      </c>
      <c r="I7" s="20" t="n">
        <f aca="false">IFERROR(G7/F7,"")</f>
        <v>1</v>
      </c>
      <c r="J7" s="18"/>
      <c r="K7" s="18"/>
      <c r="L7" s="18" t="n">
        <v>46128</v>
      </c>
      <c r="M7" s="18" t="n">
        <v>46129</v>
      </c>
      <c r="N7" s="14" t="n">
        <v>27</v>
      </c>
    </row>
    <row r="8" customFormat="false" ht="15" hidden="false" customHeight="false" outlineLevel="0" collapsed="false">
      <c r="A8" s="14" t="s">
        <v>95</v>
      </c>
      <c r="B8" s="14" t="s">
        <v>9</v>
      </c>
      <c r="C8" s="14" t="s">
        <v>99</v>
      </c>
      <c r="D8" s="14" t="s">
        <v>71</v>
      </c>
      <c r="E8" s="14" t="s">
        <v>70</v>
      </c>
      <c r="F8" s="21" t="n">
        <v>461</v>
      </c>
      <c r="G8" s="21" t="n">
        <v>363</v>
      </c>
      <c r="H8" s="21" t="n">
        <f aca="false">F8-G8</f>
        <v>98</v>
      </c>
      <c r="I8" s="20" t="n">
        <f aca="false">IFERROR(G8/F8,"")</f>
        <v>0.787418655097614</v>
      </c>
      <c r="J8" s="18"/>
      <c r="K8" s="18"/>
      <c r="L8" s="18" t="n">
        <v>46117</v>
      </c>
      <c r="M8" s="18" t="n">
        <v>46130</v>
      </c>
      <c r="N8" s="14" t="n">
        <v>28</v>
      </c>
    </row>
    <row r="9" customFormat="false" ht="15" hidden="false" customHeight="false" outlineLevel="0" collapsed="false">
      <c r="A9" s="14" t="s">
        <v>95</v>
      </c>
      <c r="B9" s="14" t="s">
        <v>9</v>
      </c>
      <c r="C9" s="14"/>
      <c r="D9" s="14" t="s">
        <v>72</v>
      </c>
      <c r="E9" s="14" t="s">
        <v>70</v>
      </c>
      <c r="F9" s="21" t="n">
        <v>251</v>
      </c>
      <c r="G9" s="21" t="n">
        <v>251</v>
      </c>
      <c r="H9" s="21" t="n">
        <f aca="false">F9-G9</f>
        <v>0</v>
      </c>
      <c r="I9" s="20" t="n">
        <f aca="false">IFERROR(G9/F9,"")</f>
        <v>1</v>
      </c>
      <c r="J9" s="18"/>
      <c r="K9" s="18"/>
      <c r="L9" s="18" t="n">
        <v>46110</v>
      </c>
      <c r="M9" s="18" t="n">
        <v>46113</v>
      </c>
      <c r="N9" s="14" t="n">
        <v>29</v>
      </c>
    </row>
    <row r="10" customFormat="false" ht="15" hidden="false" customHeight="false" outlineLevel="0" collapsed="false">
      <c r="A10" s="14" t="s">
        <v>95</v>
      </c>
      <c r="B10" s="14" t="s">
        <v>9</v>
      </c>
      <c r="C10" s="14" t="s">
        <v>100</v>
      </c>
      <c r="D10" s="14" t="s">
        <v>73</v>
      </c>
      <c r="E10" s="14" t="s">
        <v>70</v>
      </c>
      <c r="F10" s="21" t="n">
        <v>778</v>
      </c>
      <c r="G10" s="21" t="n">
        <v>191</v>
      </c>
      <c r="H10" s="21" t="n">
        <f aca="false">F10-G10</f>
        <v>587</v>
      </c>
      <c r="I10" s="20" t="n">
        <f aca="false">IFERROR(G10/F10,"")</f>
        <v>0.245501285347044</v>
      </c>
      <c r="J10" s="18"/>
      <c r="K10" s="18"/>
      <c r="L10" s="18" t="n">
        <v>46117</v>
      </c>
      <c r="M10" s="18"/>
      <c r="N10" s="14" t="n">
        <v>30</v>
      </c>
    </row>
    <row r="11" customFormat="false" ht="15" hidden="false" customHeight="false" outlineLevel="0" collapsed="false">
      <c r="A11" s="14" t="s">
        <v>95</v>
      </c>
      <c r="B11" s="14" t="s">
        <v>9</v>
      </c>
      <c r="C11" s="14" t="s">
        <v>101</v>
      </c>
      <c r="D11" s="14" t="s">
        <v>74</v>
      </c>
      <c r="E11" s="14" t="s">
        <v>70</v>
      </c>
      <c r="F11" s="21" t="n">
        <v>420</v>
      </c>
      <c r="G11" s="21" t="n">
        <v>366</v>
      </c>
      <c r="H11" s="21" t="n">
        <f aca="false">F11-G11</f>
        <v>54</v>
      </c>
      <c r="I11" s="20" t="n">
        <f aca="false">IFERROR(G11/F11,"")</f>
        <v>0.871428571428571</v>
      </c>
      <c r="J11" s="18"/>
      <c r="K11" s="18"/>
      <c r="L11" s="18" t="n">
        <v>46135</v>
      </c>
      <c r="M11" s="18"/>
      <c r="N11" s="14" t="n">
        <v>31</v>
      </c>
    </row>
    <row r="12" customFormat="false" ht="15" hidden="false" customHeight="false" outlineLevel="0" collapsed="false">
      <c r="A12" s="14" t="s">
        <v>95</v>
      </c>
      <c r="B12" s="14" t="s">
        <v>9</v>
      </c>
      <c r="C12" s="14" t="s">
        <v>97</v>
      </c>
      <c r="D12" s="14" t="s">
        <v>74</v>
      </c>
      <c r="E12" s="14" t="s">
        <v>70</v>
      </c>
      <c r="F12" s="21" t="n">
        <v>420</v>
      </c>
      <c r="G12" s="21" t="n">
        <v>153</v>
      </c>
      <c r="H12" s="21" t="n">
        <f aca="false">F12-G12</f>
        <v>267</v>
      </c>
      <c r="I12" s="20" t="n">
        <f aca="false">IFERROR(G12/F12,"")</f>
        <v>0.364285714285714</v>
      </c>
      <c r="J12" s="18"/>
      <c r="K12" s="18"/>
      <c r="L12" s="18" t="n">
        <v>46149</v>
      </c>
      <c r="M12" s="18"/>
      <c r="N12" s="14" t="n">
        <v>32</v>
      </c>
    </row>
    <row r="13" customFormat="false" ht="15" hidden="false" customHeight="false" outlineLevel="0" collapsed="false">
      <c r="A13" s="14" t="s">
        <v>95</v>
      </c>
      <c r="B13" s="14" t="s">
        <v>9</v>
      </c>
      <c r="C13" s="14" t="s">
        <v>96</v>
      </c>
      <c r="D13" s="14" t="s">
        <v>75</v>
      </c>
      <c r="E13" s="14" t="s">
        <v>70</v>
      </c>
      <c r="F13" s="21" t="n">
        <v>910</v>
      </c>
      <c r="G13" s="21" t="n">
        <v>910</v>
      </c>
      <c r="H13" s="21" t="n">
        <f aca="false">F13-G13</f>
        <v>0</v>
      </c>
      <c r="I13" s="20" t="n">
        <f aca="false">IFERROR(G13/F13,"")</f>
        <v>1</v>
      </c>
      <c r="J13" s="18"/>
      <c r="K13" s="18"/>
      <c r="L13" s="18" t="n">
        <v>46154</v>
      </c>
      <c r="M13" s="18" t="n">
        <v>46166</v>
      </c>
      <c r="N13" s="14" t="n">
        <v>33</v>
      </c>
    </row>
    <row r="14" customFormat="false" ht="15" hidden="false" customHeight="false" outlineLevel="0" collapsed="false">
      <c r="A14" s="14" t="s">
        <v>95</v>
      </c>
      <c r="B14" s="14" t="s">
        <v>9</v>
      </c>
      <c r="C14" s="14" t="s">
        <v>96</v>
      </c>
      <c r="D14" s="14" t="s">
        <v>76</v>
      </c>
      <c r="E14" s="14" t="s">
        <v>70</v>
      </c>
      <c r="F14" s="21" t="n">
        <v>237</v>
      </c>
      <c r="G14" s="21" t="n">
        <v>237</v>
      </c>
      <c r="H14" s="21" t="n">
        <f aca="false">F14-G14</f>
        <v>0</v>
      </c>
      <c r="I14" s="20" t="n">
        <f aca="false">IFERROR(G14/F14,"")</f>
        <v>1</v>
      </c>
      <c r="J14" s="18"/>
      <c r="K14" s="18"/>
      <c r="L14" s="18" t="n">
        <v>46164</v>
      </c>
      <c r="M14" s="18" t="n">
        <v>46165</v>
      </c>
      <c r="N14" s="14" t="n">
        <v>34</v>
      </c>
    </row>
    <row r="15" customFormat="false" ht="15" hidden="false" customHeight="false" outlineLevel="0" collapsed="false">
      <c r="A15" s="14" t="s">
        <v>95</v>
      </c>
      <c r="B15" s="14" t="s">
        <v>9</v>
      </c>
      <c r="C15" s="14" t="s">
        <v>97</v>
      </c>
      <c r="D15" s="14" t="s">
        <v>73</v>
      </c>
      <c r="E15" s="14" t="s">
        <v>70</v>
      </c>
      <c r="F15" s="21" t="n">
        <v>778</v>
      </c>
      <c r="G15" s="21" t="n">
        <v>778</v>
      </c>
      <c r="H15" s="21" t="n">
        <f aca="false">F15-G15</f>
        <v>0</v>
      </c>
      <c r="I15" s="20" t="n">
        <f aca="false">IFERROR(G15/F15,"")</f>
        <v>1</v>
      </c>
      <c r="J15" s="18"/>
      <c r="K15" s="18"/>
      <c r="L15" s="18" t="n">
        <v>46133</v>
      </c>
      <c r="M15" s="18" t="n">
        <v>46166</v>
      </c>
      <c r="N15" s="14" t="n">
        <v>35</v>
      </c>
    </row>
    <row r="16" customFormat="false" ht="15" hidden="false" customHeight="false" outlineLevel="0" collapsed="false">
      <c r="A16" s="14" t="s">
        <v>95</v>
      </c>
      <c r="B16" s="14" t="s">
        <v>9</v>
      </c>
      <c r="C16" s="14" t="s">
        <v>102</v>
      </c>
      <c r="D16" s="14" t="s">
        <v>74</v>
      </c>
      <c r="E16" s="14" t="s">
        <v>70</v>
      </c>
      <c r="F16" s="21" t="n">
        <v>420</v>
      </c>
      <c r="G16" s="21" t="n">
        <v>93</v>
      </c>
      <c r="H16" s="21" t="n">
        <f aca="false">F16-G16</f>
        <v>327</v>
      </c>
      <c r="I16" s="20" t="n">
        <f aca="false">IFERROR(G16/F16,"")</f>
        <v>0.221428571428571</v>
      </c>
      <c r="J16" s="18"/>
      <c r="K16" s="18"/>
      <c r="L16" s="18" t="n">
        <v>46165</v>
      </c>
      <c r="M16" s="18"/>
      <c r="N16" s="14" t="n">
        <v>36</v>
      </c>
    </row>
    <row r="17" customFormat="false" ht="15" hidden="false" customHeight="false" outlineLevel="0" collapsed="false">
      <c r="A17" s="14" t="s">
        <v>95</v>
      </c>
      <c r="B17" s="14" t="s">
        <v>9</v>
      </c>
      <c r="C17" s="14" t="s">
        <v>103</v>
      </c>
      <c r="D17" s="14" t="s">
        <v>77</v>
      </c>
      <c r="E17" s="14" t="s">
        <v>70</v>
      </c>
      <c r="F17" s="21" t="n">
        <v>117</v>
      </c>
      <c r="G17" s="21" t="n">
        <v>117</v>
      </c>
      <c r="H17" s="21" t="n">
        <f aca="false">F17-G17</f>
        <v>0</v>
      </c>
      <c r="I17" s="20" t="n">
        <f aca="false">IFERROR(G17/F17,"")</f>
        <v>1</v>
      </c>
      <c r="J17" s="18"/>
      <c r="K17" s="18"/>
      <c r="L17" s="18" t="n">
        <v>46166</v>
      </c>
      <c r="M17" s="18" t="n">
        <v>46166</v>
      </c>
      <c r="N17" s="14" t="n">
        <v>37</v>
      </c>
    </row>
    <row r="18" customFormat="false" ht="15" hidden="false" customHeight="false" outlineLevel="0" collapsed="false">
      <c r="A18" s="14" t="s">
        <v>95</v>
      </c>
      <c r="B18" s="14" t="s">
        <v>10</v>
      </c>
      <c r="C18" s="14" t="s">
        <v>104</v>
      </c>
      <c r="D18" s="14" t="s">
        <v>72</v>
      </c>
      <c r="E18" s="14" t="s">
        <v>70</v>
      </c>
      <c r="F18" s="21" t="n">
        <v>251</v>
      </c>
      <c r="G18" s="21" t="n">
        <v>251</v>
      </c>
      <c r="H18" s="21" t="n">
        <f aca="false">F18-G18</f>
        <v>0</v>
      </c>
      <c r="I18" s="20" t="n">
        <f aca="false">IFERROR(G18/F18,"")</f>
        <v>1</v>
      </c>
      <c r="J18" s="18"/>
      <c r="K18" s="18"/>
      <c r="L18" s="18" t="n">
        <v>46113</v>
      </c>
      <c r="M18" s="18" t="n">
        <v>46114</v>
      </c>
      <c r="N18" s="14" t="n">
        <v>39</v>
      </c>
    </row>
    <row r="19" customFormat="false" ht="15" hidden="false" customHeight="false" outlineLevel="0" collapsed="false">
      <c r="A19" s="14" t="s">
        <v>95</v>
      </c>
      <c r="B19" s="14" t="s">
        <v>10</v>
      </c>
      <c r="C19" s="14" t="s">
        <v>105</v>
      </c>
      <c r="D19" s="14" t="s">
        <v>72</v>
      </c>
      <c r="E19" s="14" t="s">
        <v>70</v>
      </c>
      <c r="F19" s="21" t="n">
        <v>251</v>
      </c>
      <c r="G19" s="21" t="n">
        <v>251</v>
      </c>
      <c r="H19" s="21" t="n">
        <f aca="false">F19-G19</f>
        <v>0</v>
      </c>
      <c r="I19" s="20" t="n">
        <f aca="false">IFERROR(G19/F19,"")</f>
        <v>1</v>
      </c>
      <c r="J19" s="18"/>
      <c r="K19" s="18"/>
      <c r="L19" s="18" t="n">
        <v>46129</v>
      </c>
      <c r="M19" s="18" t="n">
        <v>46132</v>
      </c>
      <c r="N19" s="14" t="n">
        <v>40</v>
      </c>
    </row>
    <row r="20" customFormat="false" ht="15" hidden="false" customHeight="false" outlineLevel="0" collapsed="false">
      <c r="A20" s="14" t="s">
        <v>95</v>
      </c>
      <c r="B20" s="14" t="s">
        <v>10</v>
      </c>
      <c r="C20" s="14" t="s">
        <v>106</v>
      </c>
      <c r="D20" s="14" t="s">
        <v>69</v>
      </c>
      <c r="E20" s="14" t="s">
        <v>70</v>
      </c>
      <c r="F20" s="21" t="n">
        <v>3798</v>
      </c>
      <c r="G20" s="21" t="n">
        <v>2433</v>
      </c>
      <c r="H20" s="21" t="n">
        <f aca="false">F20-G20</f>
        <v>1365</v>
      </c>
      <c r="I20" s="20" t="n">
        <f aca="false">IFERROR(G20/F20,"")</f>
        <v>0.640600315955766</v>
      </c>
      <c r="J20" s="18"/>
      <c r="K20" s="18"/>
      <c r="L20" s="18" t="n">
        <v>46137</v>
      </c>
      <c r="M20" s="18"/>
      <c r="N20" s="14" t="n">
        <v>41</v>
      </c>
    </row>
    <row r="21" customFormat="false" ht="15" hidden="false" customHeight="false" outlineLevel="0" collapsed="false">
      <c r="A21" s="14" t="s">
        <v>95</v>
      </c>
      <c r="B21" s="14" t="s">
        <v>10</v>
      </c>
      <c r="C21" s="14" t="s">
        <v>107</v>
      </c>
      <c r="D21" s="14" t="s">
        <v>73</v>
      </c>
      <c r="E21" s="14" t="s">
        <v>70</v>
      </c>
      <c r="F21" s="21" t="n">
        <v>778</v>
      </c>
      <c r="G21" s="21" t="n">
        <v>108</v>
      </c>
      <c r="H21" s="21" t="n">
        <f aca="false">F21-G21</f>
        <v>670</v>
      </c>
      <c r="I21" s="20" t="n">
        <f aca="false">IFERROR(G21/F21,"")</f>
        <v>0.138817480719794</v>
      </c>
      <c r="J21" s="18"/>
      <c r="K21" s="18"/>
      <c r="L21" s="18" t="n">
        <v>46149</v>
      </c>
      <c r="M21" s="18"/>
      <c r="N21" s="14" t="n">
        <v>42</v>
      </c>
    </row>
    <row r="22" customFormat="false" ht="15" hidden="false" customHeight="false" outlineLevel="0" collapsed="false">
      <c r="A22" s="14" t="s">
        <v>95</v>
      </c>
      <c r="B22" s="14" t="s">
        <v>10</v>
      </c>
      <c r="C22" s="14" t="s">
        <v>108</v>
      </c>
      <c r="D22" s="14" t="s">
        <v>73</v>
      </c>
      <c r="E22" s="14" t="s">
        <v>70</v>
      </c>
      <c r="F22" s="21" t="n">
        <v>778</v>
      </c>
      <c r="G22" s="21" t="n">
        <v>657</v>
      </c>
      <c r="H22" s="21" t="n">
        <f aca="false">F22-G22</f>
        <v>121</v>
      </c>
      <c r="I22" s="20" t="n">
        <f aca="false">IFERROR(G22/F22,"")</f>
        <v>0.844473007712082</v>
      </c>
      <c r="J22" s="18"/>
      <c r="K22" s="18"/>
      <c r="L22" s="18" t="n">
        <v>46142</v>
      </c>
      <c r="M22" s="18"/>
      <c r="N22" s="14" t="n">
        <v>43</v>
      </c>
    </row>
    <row r="23" customFormat="false" ht="15" hidden="false" customHeight="false" outlineLevel="0" collapsed="false">
      <c r="A23" s="14" t="s">
        <v>95</v>
      </c>
      <c r="B23" s="14" t="s">
        <v>10</v>
      </c>
      <c r="C23" s="14" t="s">
        <v>108</v>
      </c>
      <c r="D23" s="14" t="s">
        <v>74</v>
      </c>
      <c r="E23" s="14" t="s">
        <v>70</v>
      </c>
      <c r="F23" s="21" t="n">
        <v>420</v>
      </c>
      <c r="G23" s="21" t="n">
        <v>20</v>
      </c>
      <c r="H23" s="21" t="n">
        <f aca="false">F23-G23</f>
        <v>400</v>
      </c>
      <c r="I23" s="20" t="n">
        <f aca="false">IFERROR(G23/F23,"")</f>
        <v>0.0476190476190476</v>
      </c>
      <c r="J23" s="18"/>
      <c r="K23" s="18"/>
      <c r="L23" s="18" t="n">
        <v>46164</v>
      </c>
      <c r="M23" s="18"/>
      <c r="N23" s="14" t="n">
        <v>44</v>
      </c>
    </row>
    <row r="24" customFormat="false" ht="15" hidden="false" customHeight="false" outlineLevel="0" collapsed="false">
      <c r="A24" s="14" t="s">
        <v>95</v>
      </c>
      <c r="B24" s="14" t="s">
        <v>11</v>
      </c>
      <c r="C24" s="14" t="s">
        <v>109</v>
      </c>
      <c r="D24" s="14" t="s">
        <v>69</v>
      </c>
      <c r="E24" s="14" t="s">
        <v>70</v>
      </c>
      <c r="F24" s="21" t="n">
        <v>3798</v>
      </c>
      <c r="G24" s="21" t="n">
        <v>3798</v>
      </c>
      <c r="H24" s="21" t="n">
        <f aca="false">F24-G24</f>
        <v>0</v>
      </c>
      <c r="I24" s="20" t="n">
        <f aca="false">IFERROR(G24/F24,"")</f>
        <v>1</v>
      </c>
      <c r="J24" s="18" t="n">
        <v>46080</v>
      </c>
      <c r="K24" s="18" t="n">
        <v>46084</v>
      </c>
      <c r="L24" s="18" t="n">
        <v>46080</v>
      </c>
      <c r="M24" s="18" t="n">
        <v>46084</v>
      </c>
      <c r="N24" s="14" t="n">
        <v>18</v>
      </c>
    </row>
    <row r="25" customFormat="false" ht="15" hidden="false" customHeight="false" outlineLevel="0" collapsed="false">
      <c r="A25" s="14" t="s">
        <v>95</v>
      </c>
      <c r="B25" s="14" t="s">
        <v>11</v>
      </c>
      <c r="C25" s="14" t="s">
        <v>102</v>
      </c>
      <c r="D25" s="14" t="s">
        <v>73</v>
      </c>
      <c r="E25" s="14" t="s">
        <v>70</v>
      </c>
      <c r="F25" s="21" t="n">
        <v>778</v>
      </c>
      <c r="G25" s="21" t="n">
        <v>289</v>
      </c>
      <c r="H25" s="21" t="n">
        <f aca="false">F25-G25</f>
        <v>489</v>
      </c>
      <c r="I25" s="20" t="n">
        <f aca="false">IFERROR(G25/F25,"")</f>
        <v>0.37146529562982</v>
      </c>
      <c r="J25" s="18"/>
      <c r="K25" s="18"/>
      <c r="L25" s="18" t="n">
        <v>46152</v>
      </c>
      <c r="M25" s="18"/>
      <c r="N25" s="14" t="n">
        <v>19</v>
      </c>
    </row>
    <row r="26" customFormat="false" ht="15" hidden="false" customHeight="false" outlineLevel="0" collapsed="false">
      <c r="A26" s="14" t="s">
        <v>95</v>
      </c>
      <c r="B26" s="14" t="s">
        <v>11</v>
      </c>
      <c r="C26" s="14" t="s">
        <v>109</v>
      </c>
      <c r="D26" s="14" t="s">
        <v>72</v>
      </c>
      <c r="E26" s="14" t="s">
        <v>70</v>
      </c>
      <c r="F26" s="21" t="n">
        <v>251</v>
      </c>
      <c r="G26" s="21" t="n">
        <v>251</v>
      </c>
      <c r="H26" s="21" t="n">
        <f aca="false">F26-G26</f>
        <v>0</v>
      </c>
      <c r="I26" s="20" t="n">
        <f aca="false">IFERROR(G26/F26,"")</f>
        <v>1</v>
      </c>
      <c r="J26" s="18" t="n">
        <v>46080</v>
      </c>
      <c r="K26" s="18" t="n">
        <v>46084</v>
      </c>
      <c r="L26" s="18" t="n">
        <v>46084</v>
      </c>
      <c r="M26" s="18" t="n">
        <v>46084</v>
      </c>
      <c r="N26" s="14" t="n">
        <v>20</v>
      </c>
    </row>
    <row r="27" customFormat="false" ht="15" hidden="false" customHeight="false" outlineLevel="0" collapsed="false">
      <c r="A27" s="14" t="s">
        <v>95</v>
      </c>
      <c r="B27" s="14" t="s">
        <v>12</v>
      </c>
      <c r="C27" s="14" t="s">
        <v>109</v>
      </c>
      <c r="D27" s="14" t="s">
        <v>72</v>
      </c>
      <c r="E27" s="14" t="s">
        <v>70</v>
      </c>
      <c r="F27" s="21" t="n">
        <v>251</v>
      </c>
      <c r="G27" s="21" t="n">
        <v>251</v>
      </c>
      <c r="H27" s="21" t="n">
        <f aca="false">F27-G27</f>
        <v>0</v>
      </c>
      <c r="I27" s="20" t="n">
        <f aca="false">IFERROR(G27/F27,"")</f>
        <v>1</v>
      </c>
      <c r="J27" s="18"/>
      <c r="K27" s="18"/>
      <c r="L27" s="18" t="n">
        <v>46111</v>
      </c>
      <c r="M27" s="18" t="n">
        <v>46111</v>
      </c>
      <c r="N27" s="14" t="n">
        <v>22</v>
      </c>
    </row>
    <row r="28" customFormat="false" ht="15" hidden="false" customHeight="false" outlineLevel="0" collapsed="false">
      <c r="A28" s="14" t="s">
        <v>95</v>
      </c>
      <c r="B28" s="14" t="s">
        <v>12</v>
      </c>
      <c r="C28" s="14" t="s">
        <v>109</v>
      </c>
      <c r="D28" s="14" t="s">
        <v>69</v>
      </c>
      <c r="E28" s="14" t="s">
        <v>70</v>
      </c>
      <c r="F28" s="21" t="n">
        <v>3798</v>
      </c>
      <c r="G28" s="21" t="n">
        <v>3798</v>
      </c>
      <c r="H28" s="21" t="n">
        <f aca="false">F28-G28</f>
        <v>0</v>
      </c>
      <c r="I28" s="20" t="n">
        <f aca="false">IFERROR(G28/F28,"")</f>
        <v>1</v>
      </c>
      <c r="J28" s="18" t="n">
        <v>46104</v>
      </c>
      <c r="K28" s="18" t="n">
        <v>46110</v>
      </c>
      <c r="L28" s="18" t="n">
        <v>46104</v>
      </c>
      <c r="M28" s="18"/>
      <c r="N28" s="14" t="n">
        <v>23</v>
      </c>
    </row>
    <row r="29" customFormat="false" ht="15" hidden="false" customHeight="false" outlineLevel="0" collapsed="false">
      <c r="A29" s="14" t="s">
        <v>95</v>
      </c>
      <c r="B29" s="14" t="s">
        <v>13</v>
      </c>
      <c r="C29" s="14"/>
      <c r="D29" s="14" t="s">
        <v>74</v>
      </c>
      <c r="E29" s="14" t="s">
        <v>70</v>
      </c>
      <c r="F29" s="21" t="n">
        <v>420</v>
      </c>
      <c r="G29" s="21" t="n">
        <v>307</v>
      </c>
      <c r="H29" s="21" t="n">
        <f aca="false">F29-G29</f>
        <v>113</v>
      </c>
      <c r="I29" s="20" t="n">
        <f aca="false">IFERROR(G29/F29,"")</f>
        <v>0.730952380952381</v>
      </c>
      <c r="J29" s="18" t="n">
        <v>46106</v>
      </c>
      <c r="K29" s="18" t="n">
        <v>46142</v>
      </c>
      <c r="L29" s="18" t="n">
        <v>46137</v>
      </c>
      <c r="M29" s="18"/>
      <c r="N29" s="14" t="n">
        <v>63</v>
      </c>
    </row>
    <row r="30" customFormat="false" ht="15" hidden="false" customHeight="false" outlineLevel="0" collapsed="false">
      <c r="A30" s="14" t="s">
        <v>95</v>
      </c>
      <c r="B30" s="14" t="s">
        <v>13</v>
      </c>
      <c r="C30" s="14"/>
      <c r="D30" s="14" t="s">
        <v>78</v>
      </c>
      <c r="E30" s="14" t="s">
        <v>70</v>
      </c>
      <c r="F30" s="21" t="n">
        <v>149</v>
      </c>
      <c r="G30" s="21" t="n">
        <v>103</v>
      </c>
      <c r="H30" s="21" t="n">
        <f aca="false">F30-G30</f>
        <v>46</v>
      </c>
      <c r="I30" s="20" t="n">
        <f aca="false">IFERROR(G30/F30,"")</f>
        <v>0.691275167785235</v>
      </c>
      <c r="J30" s="18"/>
      <c r="K30" s="18"/>
      <c r="L30" s="18" t="n">
        <v>46138</v>
      </c>
      <c r="M30" s="18"/>
      <c r="N30" s="14" t="n">
        <v>64</v>
      </c>
    </row>
    <row r="31" customFormat="false" ht="15" hidden="false" customHeight="false" outlineLevel="0" collapsed="false">
      <c r="A31" s="14" t="s">
        <v>95</v>
      </c>
      <c r="B31" s="14" t="s">
        <v>13</v>
      </c>
      <c r="C31" s="14"/>
      <c r="D31" s="14" t="s">
        <v>73</v>
      </c>
      <c r="E31" s="14" t="s">
        <v>70</v>
      </c>
      <c r="F31" s="21" t="n">
        <v>336</v>
      </c>
      <c r="G31" s="21" t="n">
        <v>336</v>
      </c>
      <c r="H31" s="21" t="n">
        <f aca="false">F31-G31</f>
        <v>0</v>
      </c>
      <c r="I31" s="20" t="n">
        <f aca="false">IFERROR(G31/F31,"")</f>
        <v>1</v>
      </c>
      <c r="J31" s="18" t="n">
        <v>46026</v>
      </c>
      <c r="K31" s="18" t="n">
        <v>46101</v>
      </c>
      <c r="L31" s="18" t="n">
        <v>46085</v>
      </c>
      <c r="M31" s="18"/>
      <c r="N31" s="14" t="n">
        <v>65</v>
      </c>
    </row>
    <row r="32" customFormat="false" ht="15" hidden="false" customHeight="false" outlineLevel="0" collapsed="false">
      <c r="A32" s="14" t="s">
        <v>95</v>
      </c>
      <c r="B32" s="14" t="s">
        <v>13</v>
      </c>
      <c r="C32" s="14"/>
      <c r="D32" s="14" t="s">
        <v>79</v>
      </c>
      <c r="E32" s="14" t="s">
        <v>70</v>
      </c>
      <c r="F32" s="21" t="n">
        <v>486</v>
      </c>
      <c r="G32" s="21" t="n">
        <v>486</v>
      </c>
      <c r="H32" s="21" t="n">
        <f aca="false">F32-G32</f>
        <v>0</v>
      </c>
      <c r="I32" s="20" t="n">
        <f aca="false">IFERROR(G32/F32,"")</f>
        <v>1</v>
      </c>
      <c r="J32" s="18" t="n">
        <v>46113</v>
      </c>
      <c r="K32" s="18" t="n">
        <v>46122</v>
      </c>
      <c r="L32" s="18" t="n">
        <v>46114</v>
      </c>
      <c r="M32" s="18" t="n">
        <v>46119</v>
      </c>
      <c r="N32" s="14" t="n">
        <v>66</v>
      </c>
    </row>
    <row r="33" customFormat="false" ht="15" hidden="false" customHeight="false" outlineLevel="0" collapsed="false">
      <c r="A33" s="14" t="s">
        <v>95</v>
      </c>
      <c r="B33" s="14" t="s">
        <v>13</v>
      </c>
      <c r="C33" s="14"/>
      <c r="D33" s="14" t="s">
        <v>76</v>
      </c>
      <c r="E33" s="14" t="s">
        <v>70</v>
      </c>
      <c r="F33" s="21" t="n">
        <v>237</v>
      </c>
      <c r="G33" s="21" t="n">
        <v>237</v>
      </c>
      <c r="H33" s="21" t="n">
        <f aca="false">F33-G33</f>
        <v>0</v>
      </c>
      <c r="I33" s="20" t="n">
        <f aca="false">IFERROR(G33/F33,"")</f>
        <v>1</v>
      </c>
      <c r="J33" s="18" t="n">
        <v>46122</v>
      </c>
      <c r="K33" s="18" t="n">
        <v>46127</v>
      </c>
      <c r="L33" s="18" t="n">
        <v>46130</v>
      </c>
      <c r="M33" s="18" t="n">
        <v>46130</v>
      </c>
      <c r="N33" s="14" t="n">
        <v>67</v>
      </c>
    </row>
    <row r="34" customFormat="false" ht="15" hidden="false" customHeight="false" outlineLevel="0" collapsed="false">
      <c r="A34" s="14" t="s">
        <v>95</v>
      </c>
      <c r="B34" s="14" t="s">
        <v>13</v>
      </c>
      <c r="C34" s="14"/>
      <c r="D34" s="14" t="s">
        <v>80</v>
      </c>
      <c r="E34" s="14" t="s">
        <v>70</v>
      </c>
      <c r="F34" s="21" t="n">
        <v>59</v>
      </c>
      <c r="G34" s="21" t="n">
        <v>59</v>
      </c>
      <c r="H34" s="21" t="n">
        <f aca="false">F34-G34</f>
        <v>0</v>
      </c>
      <c r="I34" s="20" t="n">
        <f aca="false">IFERROR(G34/F34,"")</f>
        <v>1</v>
      </c>
      <c r="J34" s="18"/>
      <c r="K34" s="18"/>
      <c r="L34" s="18" t="n">
        <v>46148</v>
      </c>
      <c r="M34" s="18"/>
      <c r="N34" s="14" t="n">
        <v>68</v>
      </c>
    </row>
    <row r="35" customFormat="false" ht="15" hidden="false" customHeight="false" outlineLevel="0" collapsed="false">
      <c r="A35" s="14" t="s">
        <v>95</v>
      </c>
      <c r="B35" s="14" t="s">
        <v>13</v>
      </c>
      <c r="C35" s="14"/>
      <c r="D35" s="14" t="s">
        <v>75</v>
      </c>
      <c r="E35" s="14" t="s">
        <v>70</v>
      </c>
      <c r="F35" s="21" t="n">
        <v>547</v>
      </c>
      <c r="G35" s="21" t="n">
        <v>547</v>
      </c>
      <c r="H35" s="21" t="n">
        <f aca="false">F35-G35</f>
        <v>0</v>
      </c>
      <c r="I35" s="20" t="n">
        <f aca="false">IFERROR(G35/F35,"")</f>
        <v>1</v>
      </c>
      <c r="J35" s="18"/>
      <c r="K35" s="18"/>
      <c r="L35" s="18" t="n">
        <v>46117</v>
      </c>
      <c r="M35" s="18"/>
      <c r="N35" s="14" t="n">
        <v>69</v>
      </c>
    </row>
    <row r="36" customFormat="false" ht="15" hidden="false" customHeight="false" outlineLevel="0" collapsed="false">
      <c r="A36" s="14" t="s">
        <v>95</v>
      </c>
      <c r="B36" s="14" t="s">
        <v>14</v>
      </c>
      <c r="C36" s="14"/>
      <c r="D36" s="14" t="s">
        <v>73</v>
      </c>
      <c r="E36" s="14" t="s">
        <v>70</v>
      </c>
      <c r="F36" s="21" t="n">
        <v>778</v>
      </c>
      <c r="G36" s="21" t="n">
        <v>778</v>
      </c>
      <c r="H36" s="21" t="n">
        <f aca="false">F36-G36</f>
        <v>0</v>
      </c>
      <c r="I36" s="20" t="n">
        <f aca="false">IFERROR(G36/F36,"")</f>
        <v>1</v>
      </c>
      <c r="J36" s="18" t="n">
        <v>46082</v>
      </c>
      <c r="K36" s="18" t="n">
        <v>46116</v>
      </c>
      <c r="L36" s="18" t="n">
        <v>46082</v>
      </c>
      <c r="M36" s="18" t="n">
        <v>46146</v>
      </c>
      <c r="N36" s="14" t="n">
        <v>51</v>
      </c>
    </row>
    <row r="37" customFormat="false" ht="15" hidden="false" customHeight="false" outlineLevel="0" collapsed="false">
      <c r="A37" s="14" t="s">
        <v>95</v>
      </c>
      <c r="B37" s="14" t="s">
        <v>14</v>
      </c>
      <c r="C37" s="14"/>
      <c r="D37" s="14" t="s">
        <v>74</v>
      </c>
      <c r="E37" s="14" t="s">
        <v>70</v>
      </c>
      <c r="F37" s="21" t="n">
        <v>420</v>
      </c>
      <c r="G37" s="21" t="n">
        <v>420</v>
      </c>
      <c r="H37" s="21" t="n">
        <f aca="false">F37-G37</f>
        <v>0</v>
      </c>
      <c r="I37" s="20" t="n">
        <f aca="false">IFERROR(G37/F37,"")</f>
        <v>1</v>
      </c>
      <c r="J37" s="18" t="n">
        <v>46111</v>
      </c>
      <c r="K37" s="18" t="n">
        <v>46147</v>
      </c>
      <c r="L37" s="18" t="n">
        <v>46113</v>
      </c>
      <c r="M37" s="18" t="n">
        <v>46148</v>
      </c>
      <c r="N37" s="14" t="n">
        <v>52</v>
      </c>
    </row>
    <row r="38" customFormat="false" ht="15" hidden="false" customHeight="false" outlineLevel="0" collapsed="false">
      <c r="A38" s="14" t="s">
        <v>95</v>
      </c>
      <c r="B38" s="14" t="s">
        <v>14</v>
      </c>
      <c r="C38" s="14"/>
      <c r="D38" s="14" t="s">
        <v>74</v>
      </c>
      <c r="E38" s="14" t="s">
        <v>81</v>
      </c>
      <c r="F38" s="21" t="n">
        <v>269</v>
      </c>
      <c r="G38" s="21" t="n">
        <v>269</v>
      </c>
      <c r="H38" s="21" t="n">
        <f aca="false">F38-G38</f>
        <v>0</v>
      </c>
      <c r="I38" s="20" t="n">
        <f aca="false">IFERROR(G38/F38,"")</f>
        <v>1</v>
      </c>
      <c r="J38" s="18" t="n">
        <v>46117</v>
      </c>
      <c r="K38" s="18" t="n">
        <v>46124</v>
      </c>
      <c r="L38" s="18" t="n">
        <v>46117</v>
      </c>
      <c r="M38" s="18" t="n">
        <v>46128</v>
      </c>
      <c r="N38" s="14" t="n">
        <v>53</v>
      </c>
    </row>
    <row r="39" customFormat="false" ht="15" hidden="false" customHeight="false" outlineLevel="0" collapsed="false">
      <c r="A39" s="14" t="s">
        <v>95</v>
      </c>
      <c r="B39" s="14" t="s">
        <v>14</v>
      </c>
      <c r="C39" s="14"/>
      <c r="D39" s="14" t="s">
        <v>74</v>
      </c>
      <c r="E39" s="14" t="s">
        <v>82</v>
      </c>
      <c r="F39" s="21" t="n">
        <v>440.16</v>
      </c>
      <c r="G39" s="21" t="n">
        <v>440.1</v>
      </c>
      <c r="H39" s="21" t="n">
        <f aca="false">F39-G39</f>
        <v>0.0600000000000023</v>
      </c>
      <c r="I39" s="20" t="n">
        <f aca="false">IFERROR(G39/F39,"")</f>
        <v>0.999863685932388</v>
      </c>
      <c r="J39" s="18" t="n">
        <v>46125</v>
      </c>
      <c r="K39" s="18" t="n">
        <v>46138</v>
      </c>
      <c r="L39" s="18" t="n">
        <v>46129</v>
      </c>
      <c r="M39" s="18" t="n">
        <v>46141</v>
      </c>
      <c r="N39" s="14" t="n">
        <v>54</v>
      </c>
    </row>
    <row r="40" customFormat="false" ht="15" hidden="false" customHeight="false" outlineLevel="0" collapsed="false">
      <c r="A40" s="14" t="s">
        <v>95</v>
      </c>
      <c r="B40" s="14" t="s">
        <v>15</v>
      </c>
      <c r="C40" s="14"/>
      <c r="D40" s="14" t="s">
        <v>75</v>
      </c>
      <c r="E40" s="14" t="s">
        <v>70</v>
      </c>
      <c r="F40" s="21" t="n">
        <v>910</v>
      </c>
      <c r="G40" s="21" t="n">
        <v>910</v>
      </c>
      <c r="H40" s="21" t="n">
        <f aca="false">F40-G40</f>
        <v>0</v>
      </c>
      <c r="I40" s="20" t="n">
        <f aca="false">IFERROR(G40/F40,"")</f>
        <v>1</v>
      </c>
      <c r="J40" s="18"/>
      <c r="K40" s="18"/>
      <c r="L40" s="18" t="n">
        <v>46117</v>
      </c>
      <c r="M40" s="18" t="n">
        <v>46131</v>
      </c>
      <c r="N40" s="14" t="n">
        <v>56</v>
      </c>
    </row>
    <row r="41" customFormat="false" ht="15" hidden="false" customHeight="false" outlineLevel="0" collapsed="false">
      <c r="A41" s="14" t="s">
        <v>95</v>
      </c>
      <c r="B41" s="14" t="s">
        <v>15</v>
      </c>
      <c r="C41" s="14"/>
      <c r="D41" s="14" t="s">
        <v>76</v>
      </c>
      <c r="E41" s="14" t="s">
        <v>70</v>
      </c>
      <c r="F41" s="21" t="n">
        <v>237</v>
      </c>
      <c r="G41" s="21" t="n">
        <v>237</v>
      </c>
      <c r="H41" s="21" t="n">
        <f aca="false">F41-G41</f>
        <v>0</v>
      </c>
      <c r="I41" s="20" t="n">
        <f aca="false">IFERROR(G41/F41,"")</f>
        <v>1</v>
      </c>
      <c r="J41" s="18"/>
      <c r="K41" s="18"/>
      <c r="L41" s="18" t="n">
        <v>46130</v>
      </c>
      <c r="M41" s="18" t="n">
        <v>46132</v>
      </c>
      <c r="N41" s="14" t="n">
        <v>57</v>
      </c>
    </row>
    <row r="42" customFormat="false" ht="15" hidden="false" customHeight="false" outlineLevel="0" collapsed="false">
      <c r="A42" s="14" t="s">
        <v>95</v>
      </c>
      <c r="B42" s="14" t="s">
        <v>15</v>
      </c>
      <c r="C42" s="14"/>
      <c r="D42" s="14" t="s">
        <v>78</v>
      </c>
      <c r="E42" s="14" t="s">
        <v>70</v>
      </c>
      <c r="F42" s="21" t="n">
        <v>149</v>
      </c>
      <c r="G42" s="21" t="n">
        <v>84</v>
      </c>
      <c r="H42" s="21" t="n">
        <f aca="false">F42-G42</f>
        <v>65</v>
      </c>
      <c r="I42" s="20" t="n">
        <f aca="false">IFERROR(G42/F42,"")</f>
        <v>0.563758389261745</v>
      </c>
      <c r="J42" s="18"/>
      <c r="K42" s="18"/>
      <c r="L42" s="18" t="n">
        <v>46165</v>
      </c>
      <c r="M42" s="18"/>
      <c r="N42" s="14" t="n">
        <v>58</v>
      </c>
    </row>
    <row r="43" customFormat="false" ht="15" hidden="false" customHeight="false" outlineLevel="0" collapsed="false">
      <c r="A43" s="14" t="s">
        <v>95</v>
      </c>
      <c r="B43" s="14" t="s">
        <v>16</v>
      </c>
      <c r="C43" s="14"/>
      <c r="D43" s="14" t="s">
        <v>83</v>
      </c>
      <c r="E43" s="14" t="s">
        <v>70</v>
      </c>
      <c r="F43" s="21" t="n">
        <v>117</v>
      </c>
      <c r="G43" s="21" t="n">
        <v>117</v>
      </c>
      <c r="H43" s="21" t="n">
        <f aca="false">F43-G43</f>
        <v>0</v>
      </c>
      <c r="I43" s="20" t="n">
        <f aca="false">IFERROR(G43/F43,"")</f>
        <v>1</v>
      </c>
      <c r="J43" s="18"/>
      <c r="K43" s="18"/>
      <c r="L43" s="18" t="n">
        <v>46135</v>
      </c>
      <c r="M43" s="18" t="n">
        <v>46137</v>
      </c>
      <c r="N43" s="14" t="n">
        <v>71</v>
      </c>
    </row>
    <row r="44" customFormat="false" ht="15" hidden="false" customHeight="false" outlineLevel="0" collapsed="false">
      <c r="A44" s="14" t="s">
        <v>95</v>
      </c>
      <c r="B44" s="14" t="s">
        <v>16</v>
      </c>
      <c r="C44" s="14"/>
      <c r="D44" s="14" t="s">
        <v>74</v>
      </c>
      <c r="E44" s="14" t="s">
        <v>70</v>
      </c>
      <c r="F44" s="21" t="n">
        <v>420</v>
      </c>
      <c r="G44" s="21" t="n">
        <v>201</v>
      </c>
      <c r="H44" s="21" t="n">
        <f aca="false">F44-G44</f>
        <v>219</v>
      </c>
      <c r="I44" s="20" t="n">
        <f aca="false">IFERROR(G44/F44,"")</f>
        <v>0.478571428571429</v>
      </c>
      <c r="J44" s="18" t="n">
        <v>46027</v>
      </c>
      <c r="K44" s="18" t="n">
        <v>46101</v>
      </c>
      <c r="L44" s="18" t="n">
        <v>46086</v>
      </c>
      <c r="M44" s="18"/>
      <c r="N44" s="14" t="n">
        <v>72</v>
      </c>
    </row>
    <row r="45" customFormat="false" ht="15" hidden="false" customHeight="false" outlineLevel="0" collapsed="false">
      <c r="A45" s="14" t="s">
        <v>95</v>
      </c>
      <c r="B45" s="14" t="s">
        <v>16</v>
      </c>
      <c r="C45" s="14"/>
      <c r="D45" s="14" t="s">
        <v>78</v>
      </c>
      <c r="E45" s="14" t="s">
        <v>70</v>
      </c>
      <c r="F45" s="21" t="n">
        <v>149</v>
      </c>
      <c r="G45" s="21" t="n">
        <v>149</v>
      </c>
      <c r="H45" s="21" t="n">
        <f aca="false">F45-G45</f>
        <v>0</v>
      </c>
      <c r="I45" s="20" t="n">
        <f aca="false">IFERROR(G45/F45,"")</f>
        <v>1</v>
      </c>
      <c r="J45" s="18" t="n">
        <v>46093</v>
      </c>
      <c r="K45" s="18" t="n">
        <v>46101</v>
      </c>
      <c r="L45" s="18" t="n">
        <v>46093</v>
      </c>
      <c r="M45" s="18" t="n">
        <v>46101</v>
      </c>
      <c r="N45" s="14" t="n">
        <v>73</v>
      </c>
    </row>
    <row r="46" customFormat="false" ht="15" hidden="false" customHeight="false" outlineLevel="0" collapsed="false">
      <c r="A46" s="14" t="s">
        <v>95</v>
      </c>
      <c r="B46" s="14" t="s">
        <v>16</v>
      </c>
      <c r="C46" s="14"/>
      <c r="D46" s="14" t="s">
        <v>76</v>
      </c>
      <c r="E46" s="14" t="s">
        <v>70</v>
      </c>
      <c r="F46" s="21" t="n">
        <v>284</v>
      </c>
      <c r="G46" s="21" t="n">
        <v>149</v>
      </c>
      <c r="H46" s="21" t="n">
        <f aca="false">F46-G46</f>
        <v>135</v>
      </c>
      <c r="I46" s="20" t="n">
        <f aca="false">IFERROR(G46/F46,"")</f>
        <v>0.524647887323944</v>
      </c>
      <c r="J46" s="18"/>
      <c r="K46" s="18"/>
      <c r="L46" s="18" t="n">
        <v>46094</v>
      </c>
      <c r="M46" s="18"/>
      <c r="N46" s="14" t="n">
        <v>74</v>
      </c>
    </row>
    <row r="47" customFormat="false" ht="15" hidden="false" customHeight="false" outlineLevel="0" collapsed="false">
      <c r="A47" s="14" t="s">
        <v>95</v>
      </c>
      <c r="B47" s="14" t="s">
        <v>16</v>
      </c>
      <c r="C47" s="14"/>
      <c r="D47" s="14" t="s">
        <v>79</v>
      </c>
      <c r="E47" s="14" t="s">
        <v>70</v>
      </c>
      <c r="F47" s="21" t="n">
        <v>0</v>
      </c>
      <c r="G47" s="21" t="n">
        <v>109</v>
      </c>
      <c r="H47" s="21" t="n">
        <f aca="false">F47-G47</f>
        <v>-109</v>
      </c>
      <c r="I47" s="20" t="str">
        <f aca="false">IFERROR(G47/F47,"")</f>
        <v/>
      </c>
      <c r="J47" s="18"/>
      <c r="K47" s="18"/>
      <c r="L47" s="18" t="n">
        <v>46095</v>
      </c>
      <c r="M47" s="18"/>
      <c r="N47" s="14" t="n">
        <v>75</v>
      </c>
    </row>
    <row r="48" customFormat="false" ht="15" hidden="false" customHeight="false" outlineLevel="0" collapsed="false">
      <c r="A48" s="14" t="s">
        <v>95</v>
      </c>
      <c r="B48" s="14" t="s">
        <v>17</v>
      </c>
      <c r="C48" s="14"/>
      <c r="D48" s="14" t="s">
        <v>83</v>
      </c>
      <c r="E48" s="14" t="s">
        <v>70</v>
      </c>
      <c r="F48" s="21" t="n">
        <v>117</v>
      </c>
      <c r="G48" s="21" t="n">
        <v>117</v>
      </c>
      <c r="H48" s="21" t="n">
        <f aca="false">F48-G48</f>
        <v>0</v>
      </c>
      <c r="I48" s="20" t="n">
        <f aca="false">IFERROR(G48/F48,"")</f>
        <v>1</v>
      </c>
      <c r="J48" s="18"/>
      <c r="K48" s="18"/>
      <c r="L48" s="18" t="n">
        <v>46135</v>
      </c>
      <c r="M48" s="18" t="n">
        <v>46137</v>
      </c>
      <c r="N48" s="14" t="n">
        <v>84</v>
      </c>
    </row>
    <row r="49" customFormat="false" ht="15" hidden="false" customHeight="false" outlineLevel="0" collapsed="false">
      <c r="A49" s="14" t="s">
        <v>95</v>
      </c>
      <c r="B49" s="14" t="s">
        <v>17</v>
      </c>
      <c r="C49" s="14"/>
      <c r="D49" s="14" t="s">
        <v>74</v>
      </c>
      <c r="E49" s="14" t="s">
        <v>70</v>
      </c>
      <c r="F49" s="21" t="n">
        <v>420</v>
      </c>
      <c r="G49" s="21" t="n">
        <v>201</v>
      </c>
      <c r="H49" s="21" t="n">
        <f aca="false">F49-G49</f>
        <v>219</v>
      </c>
      <c r="I49" s="20" t="n">
        <f aca="false">IFERROR(G49/F49,"")</f>
        <v>0.478571428571429</v>
      </c>
      <c r="J49" s="18" t="n">
        <v>46027</v>
      </c>
      <c r="K49" s="18" t="n">
        <v>46101</v>
      </c>
      <c r="L49" s="18" t="n">
        <v>46086</v>
      </c>
      <c r="M49" s="18"/>
      <c r="N49" s="14" t="n">
        <v>85</v>
      </c>
    </row>
    <row r="50" customFormat="false" ht="15" hidden="false" customHeight="false" outlineLevel="0" collapsed="false">
      <c r="A50" s="14" t="s">
        <v>95</v>
      </c>
      <c r="B50" s="14" t="s">
        <v>17</v>
      </c>
      <c r="C50" s="14"/>
      <c r="D50" s="14" t="s">
        <v>78</v>
      </c>
      <c r="E50" s="14" t="s">
        <v>70</v>
      </c>
      <c r="F50" s="21" t="n">
        <v>149</v>
      </c>
      <c r="G50" s="21" t="n">
        <v>149</v>
      </c>
      <c r="H50" s="21" t="n">
        <f aca="false">F50-G50</f>
        <v>0</v>
      </c>
      <c r="I50" s="20" t="n">
        <f aca="false">IFERROR(G50/F50,"")</f>
        <v>1</v>
      </c>
      <c r="J50" s="18" t="n">
        <v>46093</v>
      </c>
      <c r="K50" s="18" t="n">
        <v>46101</v>
      </c>
      <c r="L50" s="18" t="n">
        <v>46093</v>
      </c>
      <c r="M50" s="18" t="n">
        <v>46101</v>
      </c>
      <c r="N50" s="14" t="n">
        <v>86</v>
      </c>
    </row>
    <row r="51" customFormat="false" ht="15" hidden="false" customHeight="false" outlineLevel="0" collapsed="false">
      <c r="A51" s="14" t="s">
        <v>95</v>
      </c>
      <c r="B51" s="14" t="s">
        <v>17</v>
      </c>
      <c r="C51" s="14"/>
      <c r="D51" s="14" t="s">
        <v>76</v>
      </c>
      <c r="E51" s="14" t="s">
        <v>70</v>
      </c>
      <c r="F51" s="21" t="n">
        <v>284</v>
      </c>
      <c r="G51" s="21" t="n">
        <v>149</v>
      </c>
      <c r="H51" s="21" t="n">
        <f aca="false">F51-G51</f>
        <v>135</v>
      </c>
      <c r="I51" s="20" t="n">
        <f aca="false">IFERROR(G51/F51,"")</f>
        <v>0.524647887323944</v>
      </c>
      <c r="J51" s="18"/>
      <c r="K51" s="18"/>
      <c r="L51" s="18" t="n">
        <v>46094</v>
      </c>
      <c r="M51" s="18"/>
      <c r="N51" s="14" t="n">
        <v>87</v>
      </c>
    </row>
    <row r="52" customFormat="false" ht="15" hidden="false" customHeight="false" outlineLevel="0" collapsed="false">
      <c r="A52" s="14" t="s">
        <v>95</v>
      </c>
      <c r="B52" s="14" t="s">
        <v>17</v>
      </c>
      <c r="C52" s="14"/>
      <c r="D52" s="14" t="s">
        <v>79</v>
      </c>
      <c r="E52" s="14" t="s">
        <v>70</v>
      </c>
      <c r="F52" s="21" t="n">
        <v>0</v>
      </c>
      <c r="G52" s="21" t="n">
        <v>109</v>
      </c>
      <c r="H52" s="21" t="n">
        <f aca="false">F52-G52</f>
        <v>-109</v>
      </c>
      <c r="I52" s="20" t="str">
        <f aca="false">IFERROR(G52/F52,"")</f>
        <v/>
      </c>
      <c r="J52" s="18"/>
      <c r="K52" s="18"/>
      <c r="L52" s="18" t="n">
        <v>46095</v>
      </c>
      <c r="M52" s="18"/>
      <c r="N52" s="14" t="n">
        <v>88</v>
      </c>
    </row>
    <row r="53" customFormat="false" ht="15" hidden="false" customHeight="false" outlineLevel="0" collapsed="false">
      <c r="A53" s="14" t="s">
        <v>95</v>
      </c>
      <c r="B53" s="14" t="s">
        <v>18</v>
      </c>
      <c r="C53" s="14"/>
      <c r="D53" s="14" t="s">
        <v>77</v>
      </c>
      <c r="E53" s="14" t="s">
        <v>70</v>
      </c>
      <c r="F53" s="21" t="n">
        <v>117</v>
      </c>
      <c r="G53" s="21" t="n">
        <v>117</v>
      </c>
      <c r="H53" s="21" t="n">
        <f aca="false">F53-G53</f>
        <v>0</v>
      </c>
      <c r="I53" s="20" t="n">
        <f aca="false">IFERROR(G53/F53,"")</f>
        <v>1</v>
      </c>
      <c r="J53" s="18"/>
      <c r="K53" s="18"/>
      <c r="L53" s="18" t="n">
        <v>46147</v>
      </c>
      <c r="M53" s="18"/>
      <c r="N53" s="14" t="n">
        <v>46</v>
      </c>
    </row>
    <row r="54" customFormat="false" ht="15" hidden="false" customHeight="false" outlineLevel="0" collapsed="false">
      <c r="A54" s="14" t="s">
        <v>95</v>
      </c>
      <c r="B54" s="14" t="s">
        <v>18</v>
      </c>
      <c r="C54" s="14"/>
      <c r="D54" s="14" t="s">
        <v>84</v>
      </c>
      <c r="E54" s="14" t="s">
        <v>85</v>
      </c>
      <c r="F54" s="21" t="n">
        <v>297</v>
      </c>
      <c r="G54" s="21" t="n">
        <v>297</v>
      </c>
      <c r="H54" s="21" t="n">
        <f aca="false">F54-G54</f>
        <v>0</v>
      </c>
      <c r="I54" s="20" t="n">
        <f aca="false">IFERROR(G54/F54,"")</f>
        <v>1</v>
      </c>
      <c r="J54" s="18"/>
      <c r="K54" s="18"/>
      <c r="L54" s="18" t="n">
        <v>46150</v>
      </c>
      <c r="M54" s="18" t="n">
        <v>46165</v>
      </c>
      <c r="N54" s="14" t="n">
        <v>47</v>
      </c>
    </row>
    <row r="55" customFormat="false" ht="15" hidden="false" customHeight="false" outlineLevel="0" collapsed="false">
      <c r="A55" s="14" t="s">
        <v>95</v>
      </c>
      <c r="B55" s="14" t="s">
        <v>18</v>
      </c>
      <c r="C55" s="14"/>
      <c r="D55" s="14" t="s">
        <v>86</v>
      </c>
      <c r="E55" s="14" t="s">
        <v>87</v>
      </c>
      <c r="F55" s="21" t="n">
        <v>452</v>
      </c>
      <c r="G55" s="21" t="n">
        <v>0</v>
      </c>
      <c r="H55" s="21" t="n">
        <f aca="false">F55-G55</f>
        <v>452</v>
      </c>
      <c r="I55" s="20" t="n">
        <f aca="false">IFERROR(G55/F55,"")</f>
        <v>0</v>
      </c>
      <c r="J55" s="18"/>
      <c r="K55" s="18"/>
      <c r="L55" s="18"/>
      <c r="M55" s="18"/>
      <c r="N55" s="14" t="n">
        <v>48</v>
      </c>
    </row>
    <row r="56" customFormat="false" ht="15" hidden="false" customHeight="false" outlineLevel="0" collapsed="false">
      <c r="A56" s="14" t="s">
        <v>95</v>
      </c>
      <c r="B56" s="14" t="s">
        <v>18</v>
      </c>
      <c r="C56" s="14"/>
      <c r="D56" s="14" t="s">
        <v>88</v>
      </c>
      <c r="E56" s="14" t="s">
        <v>87</v>
      </c>
      <c r="F56" s="21" t="n">
        <v>91</v>
      </c>
      <c r="G56" s="21" t="n">
        <v>50</v>
      </c>
      <c r="H56" s="21" t="n">
        <f aca="false">F56-G56</f>
        <v>41</v>
      </c>
      <c r="I56" s="20" t="n">
        <f aca="false">IFERROR(G56/F56,"")</f>
        <v>0.54945054945055</v>
      </c>
      <c r="J56" s="18"/>
      <c r="K56" s="18"/>
      <c r="L56" s="18" t="n">
        <v>46166</v>
      </c>
      <c r="M56" s="18"/>
      <c r="N56" s="14" t="n">
        <v>49</v>
      </c>
    </row>
    <row r="57" customFormat="false" ht="15" hidden="false" customHeight="false" outlineLevel="0" collapsed="false">
      <c r="A57" s="14" t="s">
        <v>95</v>
      </c>
      <c r="B57" s="14" t="s">
        <v>19</v>
      </c>
      <c r="C57" s="14"/>
      <c r="D57" s="14" t="s">
        <v>73</v>
      </c>
      <c r="E57" s="14" t="s">
        <v>70</v>
      </c>
      <c r="F57" s="21" t="n">
        <v>778</v>
      </c>
      <c r="G57" s="21" t="n">
        <v>111</v>
      </c>
      <c r="H57" s="21" t="n">
        <f aca="false">F57-G57</f>
        <v>667</v>
      </c>
      <c r="I57" s="20" t="n">
        <f aca="false">IFERROR(G57/F57,"")</f>
        <v>0.1426735218509</v>
      </c>
      <c r="J57" s="18" t="n">
        <v>46084</v>
      </c>
      <c r="K57" s="18" t="n">
        <v>46104</v>
      </c>
      <c r="L57" s="18" t="n">
        <v>46084</v>
      </c>
      <c r="M57" s="18"/>
      <c r="N57" s="14" t="n">
        <v>60</v>
      </c>
    </row>
    <row r="58" customFormat="false" ht="15" hidden="false" customHeight="false" outlineLevel="0" collapsed="false">
      <c r="A58" s="14" t="s">
        <v>95</v>
      </c>
      <c r="B58" s="14" t="s">
        <v>20</v>
      </c>
      <c r="C58" s="14"/>
      <c r="D58" s="14" t="s">
        <v>78</v>
      </c>
      <c r="E58" s="14" t="s">
        <v>70</v>
      </c>
      <c r="F58" s="21" t="n">
        <v>149</v>
      </c>
      <c r="G58" s="21" t="n">
        <v>149</v>
      </c>
      <c r="H58" s="21" t="n">
        <f aca="false">F58-G58</f>
        <v>0</v>
      </c>
      <c r="I58" s="20" t="n">
        <f aca="false">IFERROR(G58/F58,"")</f>
        <v>1</v>
      </c>
      <c r="J58" s="18"/>
      <c r="K58" s="18"/>
      <c r="L58" s="18" t="n">
        <v>46105</v>
      </c>
      <c r="M58" s="18" t="n">
        <v>46111</v>
      </c>
      <c r="N58" s="14" t="n">
        <v>77</v>
      </c>
    </row>
    <row r="59" customFormat="false" ht="15" hidden="false" customHeight="false" outlineLevel="0" collapsed="false">
      <c r="A59" s="14" t="s">
        <v>95</v>
      </c>
      <c r="B59" s="14" t="s">
        <v>20</v>
      </c>
      <c r="C59" s="14"/>
      <c r="D59" s="14" t="s">
        <v>74</v>
      </c>
      <c r="E59" s="14" t="s">
        <v>70</v>
      </c>
      <c r="F59" s="21" t="n">
        <v>420</v>
      </c>
      <c r="G59" s="21" t="n">
        <v>54</v>
      </c>
      <c r="H59" s="21" t="n">
        <f aca="false">F59-G59</f>
        <v>366</v>
      </c>
      <c r="I59" s="20" t="n">
        <f aca="false">IFERROR(G59/F59,"")</f>
        <v>0.128571428571429</v>
      </c>
      <c r="J59" s="18"/>
      <c r="K59" s="18"/>
      <c r="L59" s="18" t="n">
        <v>46144</v>
      </c>
      <c r="M59" s="18"/>
      <c r="N59" s="14" t="n">
        <v>78</v>
      </c>
    </row>
    <row r="60" customFormat="false" ht="15" hidden="false" customHeight="false" outlineLevel="0" collapsed="false">
      <c r="A60" s="14" t="s">
        <v>95</v>
      </c>
      <c r="B60" s="14" t="s">
        <v>21</v>
      </c>
      <c r="C60" s="14"/>
      <c r="D60" s="14" t="s">
        <v>78</v>
      </c>
      <c r="E60" s="14" t="s">
        <v>70</v>
      </c>
      <c r="F60" s="21" t="n">
        <v>149</v>
      </c>
      <c r="G60" s="21" t="n">
        <v>149</v>
      </c>
      <c r="H60" s="21" t="n">
        <f aca="false">F60-G60</f>
        <v>0</v>
      </c>
      <c r="I60" s="20" t="n">
        <f aca="false">IFERROR(G60/F60,"")</f>
        <v>1</v>
      </c>
      <c r="J60" s="18"/>
      <c r="K60" s="18"/>
      <c r="L60" s="18" t="n">
        <v>46150</v>
      </c>
      <c r="M60" s="18" t="n">
        <v>46164</v>
      </c>
      <c r="N60" s="14" t="n">
        <v>81</v>
      </c>
    </row>
    <row r="61" customFormat="false" ht="15" hidden="false" customHeight="false" outlineLevel="0" collapsed="false">
      <c r="A61" s="14" t="s">
        <v>95</v>
      </c>
      <c r="B61" s="14" t="s">
        <v>21</v>
      </c>
      <c r="C61" s="14" t="s">
        <v>110</v>
      </c>
      <c r="D61" s="14" t="s">
        <v>78</v>
      </c>
      <c r="E61" s="14" t="s">
        <v>70</v>
      </c>
      <c r="F61" s="21" t="n">
        <v>149</v>
      </c>
      <c r="G61" s="21" t="n">
        <v>58</v>
      </c>
      <c r="H61" s="21" t="n">
        <f aca="false">F61-G61</f>
        <v>91</v>
      </c>
      <c r="I61" s="20" t="n">
        <f aca="false">IFERROR(G61/F61,"")</f>
        <v>0.389261744966443</v>
      </c>
      <c r="J61" s="18"/>
      <c r="K61" s="18"/>
      <c r="L61" s="18" t="n">
        <v>46165</v>
      </c>
      <c r="M61" s="18"/>
      <c r="N61" s="14" t="n">
        <v>82</v>
      </c>
    </row>
    <row r="62" customFormat="false" ht="15" hidden="false" customHeight="false" outlineLevel="0" collapsed="false">
      <c r="A62" s="14" t="s">
        <v>95</v>
      </c>
      <c r="B62" s="14" t="s">
        <v>22</v>
      </c>
      <c r="C62" s="14"/>
      <c r="D62" s="14" t="s">
        <v>78</v>
      </c>
      <c r="E62" s="14" t="s">
        <v>70</v>
      </c>
      <c r="F62" s="21" t="n">
        <v>142</v>
      </c>
      <c r="G62" s="21" t="n">
        <v>103</v>
      </c>
      <c r="H62" s="21" t="n">
        <f aca="false">F62-G62</f>
        <v>39</v>
      </c>
      <c r="I62" s="20" t="n">
        <f aca="false">IFERROR(G62/F62,"")</f>
        <v>0.725352112676056</v>
      </c>
      <c r="J62" s="18" t="n">
        <v>46045</v>
      </c>
      <c r="K62" s="18" t="n">
        <v>46073</v>
      </c>
      <c r="L62" s="18" t="n">
        <v>46045</v>
      </c>
      <c r="M62" s="18"/>
      <c r="N62" s="14" t="n">
        <v>16</v>
      </c>
    </row>
  </sheetData>
  <autoFilter ref="A4:N62"/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4" min="3" style="0" width="26"/>
    <col collapsed="false" customWidth="true" hidden="false" outlineLevel="0" max="5" min="5" style="0" width="16"/>
    <col collapsed="false" customWidth="true" hidden="false" outlineLevel="0" max="6" min="6" style="0" width="12"/>
  </cols>
  <sheetData>
    <row r="1" customFormat="false" ht="21.75" hidden="false" customHeight="true" outlineLevel="0" collapsed="false">
      <c r="A1" s="1" t="s">
        <v>111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112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113</v>
      </c>
      <c r="B4" s="3" t="s">
        <v>114</v>
      </c>
      <c r="C4" s="3" t="s">
        <v>2</v>
      </c>
      <c r="D4" s="3" t="s">
        <v>61</v>
      </c>
      <c r="E4" s="3" t="s">
        <v>62</v>
      </c>
      <c r="F4" s="3" t="s">
        <v>115</v>
      </c>
    </row>
    <row r="5" customFormat="false" ht="15" hidden="false" customHeight="false" outlineLevel="0" collapsed="false">
      <c r="A5" s="18" t="n">
        <v>46045</v>
      </c>
      <c r="B5" s="14" t="s">
        <v>116</v>
      </c>
      <c r="C5" s="14" t="s">
        <v>22</v>
      </c>
      <c r="D5" s="14" t="s">
        <v>78</v>
      </c>
      <c r="E5" s="14" t="s">
        <v>70</v>
      </c>
      <c r="F5" s="21" t="n">
        <v>2</v>
      </c>
    </row>
    <row r="6" customFormat="false" ht="15" hidden="false" customHeight="false" outlineLevel="0" collapsed="false">
      <c r="A6" s="18" t="n">
        <v>46080</v>
      </c>
      <c r="B6" s="14" t="s">
        <v>116</v>
      </c>
      <c r="C6" s="14" t="s">
        <v>11</v>
      </c>
      <c r="D6" s="14" t="s">
        <v>69</v>
      </c>
      <c r="E6" s="14" t="s">
        <v>70</v>
      </c>
      <c r="F6" s="21" t="n">
        <v>594</v>
      </c>
    </row>
    <row r="7" customFormat="false" ht="15" hidden="false" customHeight="false" outlineLevel="0" collapsed="false">
      <c r="A7" s="18" t="n">
        <v>46081</v>
      </c>
      <c r="B7" s="14" t="s">
        <v>117</v>
      </c>
      <c r="C7" s="14" t="s">
        <v>11</v>
      </c>
      <c r="D7" s="14" t="s">
        <v>69</v>
      </c>
      <c r="E7" s="14" t="s">
        <v>70</v>
      </c>
      <c r="F7" s="21" t="n">
        <v>925</v>
      </c>
    </row>
    <row r="8" customFormat="false" ht="15" hidden="false" customHeight="false" outlineLevel="0" collapsed="false">
      <c r="A8" s="18" t="n">
        <v>46082</v>
      </c>
      <c r="B8" s="14" t="s">
        <v>118</v>
      </c>
      <c r="C8" s="14" t="s">
        <v>11</v>
      </c>
      <c r="D8" s="14" t="s">
        <v>69</v>
      </c>
      <c r="E8" s="14" t="s">
        <v>70</v>
      </c>
      <c r="F8" s="21" t="n">
        <v>971</v>
      </c>
    </row>
    <row r="9" customFormat="false" ht="15" hidden="false" customHeight="false" outlineLevel="0" collapsed="false">
      <c r="A9" s="18" t="n">
        <v>46082</v>
      </c>
      <c r="B9" s="14" t="s">
        <v>118</v>
      </c>
      <c r="C9" s="14" t="s">
        <v>14</v>
      </c>
      <c r="D9" s="14" t="s">
        <v>73</v>
      </c>
      <c r="E9" s="14" t="s">
        <v>70</v>
      </c>
      <c r="F9" s="21" t="n">
        <v>19</v>
      </c>
    </row>
    <row r="10" customFormat="false" ht="15" hidden="false" customHeight="false" outlineLevel="0" collapsed="false">
      <c r="A10" s="18" t="n">
        <v>46083</v>
      </c>
      <c r="B10" s="14" t="s">
        <v>119</v>
      </c>
      <c r="C10" s="14" t="s">
        <v>11</v>
      </c>
      <c r="D10" s="14" t="s">
        <v>69</v>
      </c>
      <c r="E10" s="14" t="s">
        <v>70</v>
      </c>
      <c r="F10" s="21" t="n">
        <v>950</v>
      </c>
    </row>
    <row r="11" customFormat="false" ht="15" hidden="false" customHeight="false" outlineLevel="0" collapsed="false">
      <c r="A11" s="18" t="n">
        <v>46083</v>
      </c>
      <c r="B11" s="14" t="s">
        <v>119</v>
      </c>
      <c r="C11" s="14" t="s">
        <v>14</v>
      </c>
      <c r="D11" s="14" t="s">
        <v>73</v>
      </c>
      <c r="E11" s="14" t="s">
        <v>70</v>
      </c>
      <c r="F11" s="21" t="n">
        <v>39</v>
      </c>
    </row>
    <row r="12" customFormat="false" ht="15" hidden="false" customHeight="false" outlineLevel="0" collapsed="false">
      <c r="A12" s="18" t="n">
        <v>46084</v>
      </c>
      <c r="B12" s="14" t="s">
        <v>120</v>
      </c>
      <c r="C12" s="14" t="s">
        <v>11</v>
      </c>
      <c r="D12" s="14" t="s">
        <v>69</v>
      </c>
      <c r="E12" s="14" t="s">
        <v>70</v>
      </c>
      <c r="F12" s="21" t="n">
        <v>358</v>
      </c>
    </row>
    <row r="13" customFormat="false" ht="15" hidden="false" customHeight="false" outlineLevel="0" collapsed="false">
      <c r="A13" s="18" t="n">
        <v>46084</v>
      </c>
      <c r="B13" s="14" t="s">
        <v>120</v>
      </c>
      <c r="C13" s="14" t="s">
        <v>11</v>
      </c>
      <c r="D13" s="14" t="s">
        <v>72</v>
      </c>
      <c r="E13" s="14" t="s">
        <v>70</v>
      </c>
      <c r="F13" s="21" t="n">
        <v>251</v>
      </c>
    </row>
    <row r="14" customFormat="false" ht="15" hidden="false" customHeight="false" outlineLevel="0" collapsed="false">
      <c r="A14" s="18" t="n">
        <v>46084</v>
      </c>
      <c r="B14" s="14" t="s">
        <v>120</v>
      </c>
      <c r="C14" s="14" t="s">
        <v>19</v>
      </c>
      <c r="D14" s="14" t="s">
        <v>73</v>
      </c>
      <c r="E14" s="14" t="s">
        <v>70</v>
      </c>
      <c r="F14" s="21" t="n">
        <v>75</v>
      </c>
    </row>
    <row r="15" customFormat="false" ht="15" hidden="false" customHeight="false" outlineLevel="0" collapsed="false">
      <c r="A15" s="18" t="n">
        <v>46084</v>
      </c>
      <c r="B15" s="14" t="s">
        <v>120</v>
      </c>
      <c r="C15" s="14" t="s">
        <v>14</v>
      </c>
      <c r="D15" s="14" t="s">
        <v>73</v>
      </c>
      <c r="E15" s="14" t="s">
        <v>70</v>
      </c>
      <c r="F15" s="21" t="n">
        <v>53</v>
      </c>
    </row>
    <row r="16" customFormat="false" ht="15" hidden="false" customHeight="false" outlineLevel="0" collapsed="false">
      <c r="A16" s="18" t="n">
        <v>46085</v>
      </c>
      <c r="B16" s="14" t="s">
        <v>121</v>
      </c>
      <c r="C16" s="14" t="s">
        <v>22</v>
      </c>
      <c r="D16" s="14" t="s">
        <v>78</v>
      </c>
      <c r="E16" s="14" t="s">
        <v>70</v>
      </c>
      <c r="F16" s="21" t="n">
        <v>1</v>
      </c>
    </row>
    <row r="17" customFormat="false" ht="15" hidden="false" customHeight="false" outlineLevel="0" collapsed="false">
      <c r="A17" s="18" t="n">
        <v>46085</v>
      </c>
      <c r="B17" s="14" t="s">
        <v>121</v>
      </c>
      <c r="C17" s="14" t="s">
        <v>13</v>
      </c>
      <c r="D17" s="14" t="s">
        <v>73</v>
      </c>
      <c r="E17" s="14" t="s">
        <v>70</v>
      </c>
      <c r="F17" s="21" t="n">
        <v>41</v>
      </c>
    </row>
    <row r="18" customFormat="false" ht="15" hidden="false" customHeight="false" outlineLevel="0" collapsed="false">
      <c r="A18" s="18" t="n">
        <v>46085</v>
      </c>
      <c r="B18" s="14" t="s">
        <v>121</v>
      </c>
      <c r="C18" s="14" t="s">
        <v>19</v>
      </c>
      <c r="D18" s="14" t="s">
        <v>73</v>
      </c>
      <c r="E18" s="14" t="s">
        <v>70</v>
      </c>
      <c r="F18" s="21" t="n">
        <v>36</v>
      </c>
    </row>
    <row r="19" customFormat="false" ht="15" hidden="false" customHeight="false" outlineLevel="0" collapsed="false">
      <c r="A19" s="18" t="n">
        <v>46085</v>
      </c>
      <c r="B19" s="14" t="s">
        <v>121</v>
      </c>
      <c r="C19" s="14" t="s">
        <v>14</v>
      </c>
      <c r="D19" s="14" t="s">
        <v>73</v>
      </c>
      <c r="E19" s="14" t="s">
        <v>70</v>
      </c>
      <c r="F19" s="21" t="n">
        <v>44</v>
      </c>
    </row>
    <row r="20" customFormat="false" ht="15" hidden="false" customHeight="false" outlineLevel="0" collapsed="false">
      <c r="A20" s="18" t="n">
        <v>46086</v>
      </c>
      <c r="B20" s="14" t="s">
        <v>122</v>
      </c>
      <c r="C20" s="14" t="s">
        <v>16</v>
      </c>
      <c r="D20" s="14" t="s">
        <v>74</v>
      </c>
      <c r="E20" s="14" t="s">
        <v>70</v>
      </c>
      <c r="F20" s="21" t="n">
        <v>4</v>
      </c>
    </row>
    <row r="21" customFormat="false" ht="15" hidden="false" customHeight="false" outlineLevel="0" collapsed="false">
      <c r="A21" s="18" t="n">
        <v>46086</v>
      </c>
      <c r="B21" s="14" t="s">
        <v>122</v>
      </c>
      <c r="C21" s="14" t="s">
        <v>17</v>
      </c>
      <c r="D21" s="14" t="s">
        <v>74</v>
      </c>
      <c r="E21" s="14" t="s">
        <v>70</v>
      </c>
      <c r="F21" s="21" t="n">
        <v>4</v>
      </c>
    </row>
    <row r="22" customFormat="false" ht="15" hidden="false" customHeight="false" outlineLevel="0" collapsed="false">
      <c r="A22" s="18" t="n">
        <v>46086</v>
      </c>
      <c r="B22" s="14" t="s">
        <v>122</v>
      </c>
      <c r="C22" s="14" t="s">
        <v>13</v>
      </c>
      <c r="D22" s="14" t="s">
        <v>73</v>
      </c>
      <c r="E22" s="14" t="s">
        <v>70</v>
      </c>
      <c r="F22" s="21" t="n">
        <v>38</v>
      </c>
    </row>
    <row r="23" customFormat="false" ht="15" hidden="false" customHeight="false" outlineLevel="0" collapsed="false">
      <c r="A23" s="18" t="n">
        <v>46086</v>
      </c>
      <c r="B23" s="14" t="s">
        <v>122</v>
      </c>
      <c r="C23" s="14" t="s">
        <v>14</v>
      </c>
      <c r="D23" s="14" t="s">
        <v>73</v>
      </c>
      <c r="E23" s="14" t="s">
        <v>70</v>
      </c>
      <c r="F23" s="21" t="n">
        <v>33</v>
      </c>
    </row>
    <row r="24" customFormat="false" ht="15" hidden="false" customHeight="false" outlineLevel="0" collapsed="false">
      <c r="A24" s="18" t="n">
        <v>46090</v>
      </c>
      <c r="B24" s="14" t="s">
        <v>119</v>
      </c>
      <c r="C24" s="14" t="s">
        <v>14</v>
      </c>
      <c r="D24" s="14" t="s">
        <v>73</v>
      </c>
      <c r="E24" s="14" t="s">
        <v>70</v>
      </c>
      <c r="F24" s="21" t="n">
        <v>39</v>
      </c>
    </row>
    <row r="25" customFormat="false" ht="15" hidden="false" customHeight="false" outlineLevel="0" collapsed="false">
      <c r="A25" s="18" t="n">
        <v>46091</v>
      </c>
      <c r="B25" s="14" t="s">
        <v>120</v>
      </c>
      <c r="C25" s="14" t="s">
        <v>16</v>
      </c>
      <c r="D25" s="14" t="s">
        <v>74</v>
      </c>
      <c r="E25" s="14" t="s">
        <v>70</v>
      </c>
      <c r="F25" s="21" t="n">
        <v>23</v>
      </c>
    </row>
    <row r="26" customFormat="false" ht="15" hidden="false" customHeight="false" outlineLevel="0" collapsed="false">
      <c r="A26" s="18" t="n">
        <v>46091</v>
      </c>
      <c r="B26" s="14" t="s">
        <v>120</v>
      </c>
      <c r="C26" s="14" t="s">
        <v>17</v>
      </c>
      <c r="D26" s="14" t="s">
        <v>74</v>
      </c>
      <c r="E26" s="14" t="s">
        <v>70</v>
      </c>
      <c r="F26" s="21" t="n">
        <v>23</v>
      </c>
    </row>
    <row r="27" customFormat="false" ht="15" hidden="false" customHeight="false" outlineLevel="0" collapsed="false">
      <c r="A27" s="18" t="n">
        <v>46091</v>
      </c>
      <c r="B27" s="14" t="s">
        <v>120</v>
      </c>
      <c r="C27" s="14" t="s">
        <v>13</v>
      </c>
      <c r="D27" s="14" t="s">
        <v>73</v>
      </c>
      <c r="E27" s="14" t="s">
        <v>70</v>
      </c>
      <c r="F27" s="21" t="n">
        <v>38</v>
      </c>
    </row>
    <row r="28" customFormat="false" ht="15" hidden="false" customHeight="false" outlineLevel="0" collapsed="false">
      <c r="A28" s="18" t="n">
        <v>46091</v>
      </c>
      <c r="B28" s="14" t="s">
        <v>120</v>
      </c>
      <c r="C28" s="14" t="s">
        <v>14</v>
      </c>
      <c r="D28" s="14" t="s">
        <v>73</v>
      </c>
      <c r="E28" s="14" t="s">
        <v>70</v>
      </c>
      <c r="F28" s="21" t="n">
        <v>42</v>
      </c>
    </row>
    <row r="29" customFormat="false" ht="15" hidden="false" customHeight="false" outlineLevel="0" collapsed="false">
      <c r="A29" s="18" t="n">
        <v>46092</v>
      </c>
      <c r="B29" s="14" t="s">
        <v>121</v>
      </c>
      <c r="C29" s="14" t="s">
        <v>16</v>
      </c>
      <c r="D29" s="14" t="s">
        <v>74</v>
      </c>
      <c r="E29" s="14" t="s">
        <v>70</v>
      </c>
      <c r="F29" s="21" t="n">
        <v>27</v>
      </c>
    </row>
    <row r="30" customFormat="false" ht="15" hidden="false" customHeight="false" outlineLevel="0" collapsed="false">
      <c r="A30" s="18" t="n">
        <v>46092</v>
      </c>
      <c r="B30" s="14" t="s">
        <v>121</v>
      </c>
      <c r="C30" s="14" t="s">
        <v>17</v>
      </c>
      <c r="D30" s="14" t="s">
        <v>74</v>
      </c>
      <c r="E30" s="14" t="s">
        <v>70</v>
      </c>
      <c r="F30" s="21" t="n">
        <v>27</v>
      </c>
    </row>
    <row r="31" customFormat="false" ht="15" hidden="false" customHeight="false" outlineLevel="0" collapsed="false">
      <c r="A31" s="18" t="n">
        <v>46092</v>
      </c>
      <c r="B31" s="14" t="s">
        <v>121</v>
      </c>
      <c r="C31" s="14" t="s">
        <v>13</v>
      </c>
      <c r="D31" s="14" t="s">
        <v>73</v>
      </c>
      <c r="E31" s="14" t="s">
        <v>70</v>
      </c>
      <c r="F31" s="21" t="n">
        <v>43</v>
      </c>
    </row>
    <row r="32" customFormat="false" ht="15" hidden="false" customHeight="false" outlineLevel="0" collapsed="false">
      <c r="A32" s="18" t="n">
        <v>46092</v>
      </c>
      <c r="B32" s="14" t="s">
        <v>121</v>
      </c>
      <c r="C32" s="14" t="s">
        <v>14</v>
      </c>
      <c r="D32" s="14" t="s">
        <v>73</v>
      </c>
      <c r="E32" s="14" t="s">
        <v>70</v>
      </c>
      <c r="F32" s="21" t="n">
        <v>21</v>
      </c>
    </row>
    <row r="33" customFormat="false" ht="15" hidden="false" customHeight="false" outlineLevel="0" collapsed="false">
      <c r="A33" s="18" t="n">
        <v>46093</v>
      </c>
      <c r="B33" s="14" t="s">
        <v>122</v>
      </c>
      <c r="C33" s="14" t="s">
        <v>22</v>
      </c>
      <c r="D33" s="14" t="s">
        <v>78</v>
      </c>
      <c r="E33" s="14" t="s">
        <v>70</v>
      </c>
      <c r="F33" s="21" t="n">
        <v>9</v>
      </c>
    </row>
    <row r="34" customFormat="false" ht="15" hidden="false" customHeight="false" outlineLevel="0" collapsed="false">
      <c r="A34" s="18" t="n">
        <v>46093</v>
      </c>
      <c r="B34" s="14" t="s">
        <v>122</v>
      </c>
      <c r="C34" s="14" t="s">
        <v>16</v>
      </c>
      <c r="D34" s="14" t="s">
        <v>74</v>
      </c>
      <c r="E34" s="14" t="s">
        <v>70</v>
      </c>
      <c r="F34" s="21" t="n">
        <v>35</v>
      </c>
    </row>
    <row r="35" customFormat="false" ht="15" hidden="false" customHeight="false" outlineLevel="0" collapsed="false">
      <c r="A35" s="18" t="n">
        <v>46093</v>
      </c>
      <c r="B35" s="14" t="s">
        <v>122</v>
      </c>
      <c r="C35" s="14" t="s">
        <v>16</v>
      </c>
      <c r="D35" s="14" t="s">
        <v>78</v>
      </c>
      <c r="E35" s="14" t="s">
        <v>70</v>
      </c>
      <c r="F35" s="21" t="n">
        <v>20</v>
      </c>
    </row>
    <row r="36" customFormat="false" ht="15" hidden="false" customHeight="false" outlineLevel="0" collapsed="false">
      <c r="A36" s="18" t="n">
        <v>46093</v>
      </c>
      <c r="B36" s="14" t="s">
        <v>122</v>
      </c>
      <c r="C36" s="14" t="s">
        <v>17</v>
      </c>
      <c r="D36" s="14" t="s">
        <v>74</v>
      </c>
      <c r="E36" s="14" t="s">
        <v>70</v>
      </c>
      <c r="F36" s="21" t="n">
        <v>35</v>
      </c>
    </row>
    <row r="37" customFormat="false" ht="15" hidden="false" customHeight="false" outlineLevel="0" collapsed="false">
      <c r="A37" s="18" t="n">
        <v>46093</v>
      </c>
      <c r="B37" s="14" t="s">
        <v>122</v>
      </c>
      <c r="C37" s="14" t="s">
        <v>17</v>
      </c>
      <c r="D37" s="14" t="s">
        <v>78</v>
      </c>
      <c r="E37" s="14" t="s">
        <v>70</v>
      </c>
      <c r="F37" s="21" t="n">
        <v>20</v>
      </c>
    </row>
    <row r="38" customFormat="false" ht="15" hidden="false" customHeight="false" outlineLevel="0" collapsed="false">
      <c r="A38" s="18" t="n">
        <v>46093</v>
      </c>
      <c r="B38" s="14" t="s">
        <v>122</v>
      </c>
      <c r="C38" s="14" t="s">
        <v>13</v>
      </c>
      <c r="D38" s="14" t="s">
        <v>73</v>
      </c>
      <c r="E38" s="14" t="s">
        <v>70</v>
      </c>
      <c r="F38" s="21" t="n">
        <v>110</v>
      </c>
    </row>
    <row r="39" customFormat="false" ht="15" hidden="false" customHeight="false" outlineLevel="0" collapsed="false">
      <c r="A39" s="18" t="n">
        <v>46094</v>
      </c>
      <c r="B39" s="14" t="s">
        <v>116</v>
      </c>
      <c r="C39" s="14" t="s">
        <v>22</v>
      </c>
      <c r="D39" s="14" t="s">
        <v>78</v>
      </c>
      <c r="E39" s="14" t="s">
        <v>70</v>
      </c>
      <c r="F39" s="21" t="n">
        <v>34</v>
      </c>
    </row>
    <row r="40" customFormat="false" ht="15" hidden="false" customHeight="false" outlineLevel="0" collapsed="false">
      <c r="A40" s="18" t="n">
        <v>46094</v>
      </c>
      <c r="B40" s="14" t="s">
        <v>116</v>
      </c>
      <c r="C40" s="14" t="s">
        <v>16</v>
      </c>
      <c r="D40" s="14" t="s">
        <v>74</v>
      </c>
      <c r="E40" s="14" t="s">
        <v>70</v>
      </c>
      <c r="F40" s="21" t="n">
        <v>27</v>
      </c>
    </row>
    <row r="41" customFormat="false" ht="15" hidden="false" customHeight="false" outlineLevel="0" collapsed="false">
      <c r="A41" s="18" t="n">
        <v>46094</v>
      </c>
      <c r="B41" s="14" t="s">
        <v>116</v>
      </c>
      <c r="C41" s="14" t="s">
        <v>16</v>
      </c>
      <c r="D41" s="14" t="s">
        <v>76</v>
      </c>
      <c r="E41" s="14" t="s">
        <v>70</v>
      </c>
      <c r="F41" s="21" t="n">
        <v>47</v>
      </c>
    </row>
    <row r="42" customFormat="false" ht="15" hidden="false" customHeight="false" outlineLevel="0" collapsed="false">
      <c r="A42" s="18" t="n">
        <v>46094</v>
      </c>
      <c r="B42" s="14" t="s">
        <v>116</v>
      </c>
      <c r="C42" s="14" t="s">
        <v>17</v>
      </c>
      <c r="D42" s="14" t="s">
        <v>74</v>
      </c>
      <c r="E42" s="14" t="s">
        <v>70</v>
      </c>
      <c r="F42" s="21" t="n">
        <v>27</v>
      </c>
    </row>
    <row r="43" customFormat="false" ht="15" hidden="false" customHeight="false" outlineLevel="0" collapsed="false">
      <c r="A43" s="18" t="n">
        <v>46094</v>
      </c>
      <c r="B43" s="14" t="s">
        <v>116</v>
      </c>
      <c r="C43" s="14" t="s">
        <v>17</v>
      </c>
      <c r="D43" s="14" t="s">
        <v>76</v>
      </c>
      <c r="E43" s="14" t="s">
        <v>70</v>
      </c>
      <c r="F43" s="21" t="n">
        <v>47</v>
      </c>
    </row>
    <row r="44" customFormat="false" ht="15" hidden="false" customHeight="false" outlineLevel="0" collapsed="false">
      <c r="A44" s="18" t="n">
        <v>46094</v>
      </c>
      <c r="B44" s="14" t="s">
        <v>116</v>
      </c>
      <c r="C44" s="14" t="s">
        <v>13</v>
      </c>
      <c r="D44" s="14" t="s">
        <v>73</v>
      </c>
      <c r="E44" s="14" t="s">
        <v>70</v>
      </c>
      <c r="F44" s="21" t="n">
        <v>8</v>
      </c>
    </row>
    <row r="45" customFormat="false" ht="15" hidden="false" customHeight="false" outlineLevel="0" collapsed="false">
      <c r="A45" s="18" t="n">
        <v>46094</v>
      </c>
      <c r="B45" s="14" t="s">
        <v>116</v>
      </c>
      <c r="C45" s="14" t="s">
        <v>14</v>
      </c>
      <c r="D45" s="14" t="s">
        <v>73</v>
      </c>
      <c r="E45" s="14" t="s">
        <v>70</v>
      </c>
      <c r="F45" s="21" t="n">
        <v>38</v>
      </c>
    </row>
    <row r="46" customFormat="false" ht="15" hidden="false" customHeight="false" outlineLevel="0" collapsed="false">
      <c r="A46" s="18" t="n">
        <v>46095</v>
      </c>
      <c r="B46" s="14" t="s">
        <v>117</v>
      </c>
      <c r="C46" s="14" t="s">
        <v>22</v>
      </c>
      <c r="D46" s="14" t="s">
        <v>78</v>
      </c>
      <c r="E46" s="14" t="s">
        <v>70</v>
      </c>
      <c r="F46" s="21" t="n">
        <v>28</v>
      </c>
    </row>
    <row r="47" customFormat="false" ht="15" hidden="false" customHeight="false" outlineLevel="0" collapsed="false">
      <c r="A47" s="18" t="n">
        <v>46095</v>
      </c>
      <c r="B47" s="14" t="s">
        <v>117</v>
      </c>
      <c r="C47" s="14" t="s">
        <v>16</v>
      </c>
      <c r="D47" s="14" t="s">
        <v>76</v>
      </c>
      <c r="E47" s="14" t="s">
        <v>70</v>
      </c>
      <c r="F47" s="21" t="n">
        <v>25</v>
      </c>
    </row>
    <row r="48" customFormat="false" ht="15" hidden="false" customHeight="false" outlineLevel="0" collapsed="false">
      <c r="A48" s="18" t="n">
        <v>46095</v>
      </c>
      <c r="B48" s="14" t="s">
        <v>117</v>
      </c>
      <c r="C48" s="14" t="s">
        <v>16</v>
      </c>
      <c r="D48" s="14" t="s">
        <v>79</v>
      </c>
      <c r="E48" s="14" t="s">
        <v>70</v>
      </c>
      <c r="F48" s="21" t="n">
        <v>7</v>
      </c>
    </row>
    <row r="49" customFormat="false" ht="15" hidden="false" customHeight="false" outlineLevel="0" collapsed="false">
      <c r="A49" s="18" t="n">
        <v>46095</v>
      </c>
      <c r="B49" s="14" t="s">
        <v>117</v>
      </c>
      <c r="C49" s="14" t="s">
        <v>17</v>
      </c>
      <c r="D49" s="14" t="s">
        <v>76</v>
      </c>
      <c r="E49" s="14" t="s">
        <v>70</v>
      </c>
      <c r="F49" s="21" t="n">
        <v>25</v>
      </c>
    </row>
    <row r="50" customFormat="false" ht="15" hidden="false" customHeight="false" outlineLevel="0" collapsed="false">
      <c r="A50" s="18" t="n">
        <v>46095</v>
      </c>
      <c r="B50" s="14" t="s">
        <v>117</v>
      </c>
      <c r="C50" s="14" t="s">
        <v>17</v>
      </c>
      <c r="D50" s="14" t="s">
        <v>79</v>
      </c>
      <c r="E50" s="14" t="s">
        <v>70</v>
      </c>
      <c r="F50" s="21" t="n">
        <v>7</v>
      </c>
    </row>
    <row r="51" customFormat="false" ht="15" hidden="false" customHeight="false" outlineLevel="0" collapsed="false">
      <c r="A51" s="18" t="n">
        <v>46095</v>
      </c>
      <c r="B51" s="14" t="s">
        <v>117</v>
      </c>
      <c r="C51" s="14" t="s">
        <v>13</v>
      </c>
      <c r="D51" s="14" t="s">
        <v>73</v>
      </c>
      <c r="E51" s="14" t="s">
        <v>70</v>
      </c>
      <c r="F51" s="21" t="n">
        <v>38</v>
      </c>
    </row>
    <row r="52" customFormat="false" ht="15" hidden="false" customHeight="false" outlineLevel="0" collapsed="false">
      <c r="A52" s="18" t="n">
        <v>46095</v>
      </c>
      <c r="B52" s="14" t="s">
        <v>117</v>
      </c>
      <c r="C52" s="14" t="s">
        <v>14</v>
      </c>
      <c r="D52" s="14" t="s">
        <v>73</v>
      </c>
      <c r="E52" s="14" t="s">
        <v>70</v>
      </c>
      <c r="F52" s="21" t="n">
        <v>41</v>
      </c>
    </row>
    <row r="53" customFormat="false" ht="15" hidden="false" customHeight="false" outlineLevel="0" collapsed="false">
      <c r="A53" s="18" t="n">
        <v>46096</v>
      </c>
      <c r="B53" s="14" t="s">
        <v>118</v>
      </c>
      <c r="C53" s="14" t="s">
        <v>22</v>
      </c>
      <c r="D53" s="14" t="s">
        <v>78</v>
      </c>
      <c r="E53" s="14" t="s">
        <v>70</v>
      </c>
      <c r="F53" s="21" t="n">
        <v>29</v>
      </c>
    </row>
    <row r="54" customFormat="false" ht="15" hidden="false" customHeight="false" outlineLevel="0" collapsed="false">
      <c r="A54" s="18" t="n">
        <v>46096</v>
      </c>
      <c r="B54" s="14" t="s">
        <v>118</v>
      </c>
      <c r="C54" s="14" t="s">
        <v>16</v>
      </c>
      <c r="D54" s="14" t="s">
        <v>76</v>
      </c>
      <c r="E54" s="14" t="s">
        <v>70</v>
      </c>
      <c r="F54" s="21" t="n">
        <v>60</v>
      </c>
    </row>
    <row r="55" customFormat="false" ht="15" hidden="false" customHeight="false" outlineLevel="0" collapsed="false">
      <c r="A55" s="18" t="n">
        <v>46096</v>
      </c>
      <c r="B55" s="14" t="s">
        <v>118</v>
      </c>
      <c r="C55" s="14" t="s">
        <v>16</v>
      </c>
      <c r="D55" s="14" t="s">
        <v>79</v>
      </c>
      <c r="E55" s="14" t="s">
        <v>70</v>
      </c>
      <c r="F55" s="21" t="n">
        <v>28</v>
      </c>
    </row>
    <row r="56" customFormat="false" ht="15" hidden="false" customHeight="false" outlineLevel="0" collapsed="false">
      <c r="A56" s="18" t="n">
        <v>46096</v>
      </c>
      <c r="B56" s="14" t="s">
        <v>118</v>
      </c>
      <c r="C56" s="14" t="s">
        <v>17</v>
      </c>
      <c r="D56" s="14" t="s">
        <v>76</v>
      </c>
      <c r="E56" s="14" t="s">
        <v>70</v>
      </c>
      <c r="F56" s="21" t="n">
        <v>60</v>
      </c>
    </row>
    <row r="57" customFormat="false" ht="15" hidden="false" customHeight="false" outlineLevel="0" collapsed="false">
      <c r="A57" s="18" t="n">
        <v>46096</v>
      </c>
      <c r="B57" s="14" t="s">
        <v>118</v>
      </c>
      <c r="C57" s="14" t="s">
        <v>17</v>
      </c>
      <c r="D57" s="14" t="s">
        <v>79</v>
      </c>
      <c r="E57" s="14" t="s">
        <v>70</v>
      </c>
      <c r="F57" s="21" t="n">
        <v>28</v>
      </c>
    </row>
    <row r="58" customFormat="false" ht="15" hidden="false" customHeight="false" outlineLevel="0" collapsed="false">
      <c r="A58" s="18" t="n">
        <v>46097</v>
      </c>
      <c r="B58" s="14" t="s">
        <v>119</v>
      </c>
      <c r="C58" s="14" t="s">
        <v>16</v>
      </c>
      <c r="D58" s="14" t="s">
        <v>76</v>
      </c>
      <c r="E58" s="14" t="s">
        <v>70</v>
      </c>
      <c r="F58" s="21" t="n">
        <v>17</v>
      </c>
    </row>
    <row r="59" customFormat="false" ht="15" hidden="false" customHeight="false" outlineLevel="0" collapsed="false">
      <c r="A59" s="18" t="n">
        <v>46097</v>
      </c>
      <c r="B59" s="14" t="s">
        <v>119</v>
      </c>
      <c r="C59" s="14" t="s">
        <v>16</v>
      </c>
      <c r="D59" s="14" t="s">
        <v>79</v>
      </c>
      <c r="E59" s="14" t="s">
        <v>70</v>
      </c>
      <c r="F59" s="21" t="n">
        <v>45</v>
      </c>
    </row>
    <row r="60" customFormat="false" ht="15" hidden="false" customHeight="false" outlineLevel="0" collapsed="false">
      <c r="A60" s="18" t="n">
        <v>46097</v>
      </c>
      <c r="B60" s="14" t="s">
        <v>119</v>
      </c>
      <c r="C60" s="14" t="s">
        <v>17</v>
      </c>
      <c r="D60" s="14" t="s">
        <v>76</v>
      </c>
      <c r="E60" s="14" t="s">
        <v>70</v>
      </c>
      <c r="F60" s="21" t="n">
        <v>17</v>
      </c>
    </row>
    <row r="61" customFormat="false" ht="15" hidden="false" customHeight="false" outlineLevel="0" collapsed="false">
      <c r="A61" s="18" t="n">
        <v>46097</v>
      </c>
      <c r="B61" s="14" t="s">
        <v>119</v>
      </c>
      <c r="C61" s="14" t="s">
        <v>17</v>
      </c>
      <c r="D61" s="14" t="s">
        <v>79</v>
      </c>
      <c r="E61" s="14" t="s">
        <v>70</v>
      </c>
      <c r="F61" s="21" t="n">
        <v>45</v>
      </c>
    </row>
    <row r="62" customFormat="false" ht="15" hidden="false" customHeight="false" outlineLevel="0" collapsed="false">
      <c r="A62" s="18" t="n">
        <v>46099</v>
      </c>
      <c r="B62" s="14" t="s">
        <v>121</v>
      </c>
      <c r="C62" s="14" t="s">
        <v>14</v>
      </c>
      <c r="D62" s="14" t="s">
        <v>73</v>
      </c>
      <c r="E62" s="14" t="s">
        <v>70</v>
      </c>
      <c r="F62" s="21" t="n">
        <v>28</v>
      </c>
    </row>
    <row r="63" customFormat="false" ht="15" hidden="false" customHeight="false" outlineLevel="0" collapsed="false">
      <c r="A63" s="18" t="n">
        <v>46100</v>
      </c>
      <c r="B63" s="14" t="s">
        <v>122</v>
      </c>
      <c r="C63" s="14" t="s">
        <v>16</v>
      </c>
      <c r="D63" s="14" t="s">
        <v>78</v>
      </c>
      <c r="E63" s="14" t="s">
        <v>70</v>
      </c>
      <c r="F63" s="21" t="n">
        <v>58</v>
      </c>
    </row>
    <row r="64" customFormat="false" ht="15" hidden="false" customHeight="false" outlineLevel="0" collapsed="false">
      <c r="A64" s="18" t="n">
        <v>46100</v>
      </c>
      <c r="B64" s="14" t="s">
        <v>122</v>
      </c>
      <c r="C64" s="14" t="s">
        <v>17</v>
      </c>
      <c r="D64" s="14" t="s">
        <v>78</v>
      </c>
      <c r="E64" s="14" t="s">
        <v>70</v>
      </c>
      <c r="F64" s="21" t="n">
        <v>58</v>
      </c>
    </row>
    <row r="65" customFormat="false" ht="15" hidden="false" customHeight="false" outlineLevel="0" collapsed="false">
      <c r="A65" s="18" t="n">
        <v>46100</v>
      </c>
      <c r="B65" s="14" t="s">
        <v>122</v>
      </c>
      <c r="C65" s="14" t="s">
        <v>14</v>
      </c>
      <c r="D65" s="14" t="s">
        <v>73</v>
      </c>
      <c r="E65" s="14" t="s">
        <v>70</v>
      </c>
      <c r="F65" s="21" t="n">
        <v>35</v>
      </c>
    </row>
    <row r="66" customFormat="false" ht="15" hidden="false" customHeight="false" outlineLevel="0" collapsed="false">
      <c r="A66" s="18" t="n">
        <v>46101</v>
      </c>
      <c r="B66" s="14" t="s">
        <v>116</v>
      </c>
      <c r="C66" s="14" t="s">
        <v>16</v>
      </c>
      <c r="D66" s="14" t="s">
        <v>78</v>
      </c>
      <c r="E66" s="14" t="s">
        <v>70</v>
      </c>
      <c r="F66" s="21" t="n">
        <v>25</v>
      </c>
    </row>
    <row r="67" customFormat="false" ht="15" hidden="false" customHeight="false" outlineLevel="0" collapsed="false">
      <c r="A67" s="18" t="n">
        <v>46101</v>
      </c>
      <c r="B67" s="14" t="s">
        <v>116</v>
      </c>
      <c r="C67" s="14" t="s">
        <v>17</v>
      </c>
      <c r="D67" s="14" t="s">
        <v>78</v>
      </c>
      <c r="E67" s="14" t="s">
        <v>70</v>
      </c>
      <c r="F67" s="21" t="n">
        <v>25</v>
      </c>
    </row>
    <row r="68" customFormat="false" ht="15" hidden="false" customHeight="false" outlineLevel="0" collapsed="false">
      <c r="A68" s="18" t="n">
        <v>46101</v>
      </c>
      <c r="B68" s="14" t="s">
        <v>116</v>
      </c>
      <c r="C68" s="14" t="s">
        <v>13</v>
      </c>
      <c r="D68" s="14" t="s">
        <v>73</v>
      </c>
      <c r="E68" s="14" t="s">
        <v>70</v>
      </c>
      <c r="F68" s="21" t="n">
        <v>20</v>
      </c>
    </row>
    <row r="69" customFormat="false" ht="15" hidden="false" customHeight="false" outlineLevel="0" collapsed="false">
      <c r="A69" s="18" t="n">
        <v>46101</v>
      </c>
      <c r="B69" s="14" t="s">
        <v>116</v>
      </c>
      <c r="C69" s="14" t="s">
        <v>14</v>
      </c>
      <c r="D69" s="14" t="s">
        <v>73</v>
      </c>
      <c r="E69" s="14" t="s">
        <v>70</v>
      </c>
      <c r="F69" s="21" t="n">
        <v>30</v>
      </c>
    </row>
    <row r="70" customFormat="false" ht="15" hidden="false" customHeight="false" outlineLevel="0" collapsed="false">
      <c r="A70" s="18" t="n">
        <v>46104</v>
      </c>
      <c r="B70" s="14" t="s">
        <v>119</v>
      </c>
      <c r="C70" s="14" t="s">
        <v>12</v>
      </c>
      <c r="D70" s="14" t="s">
        <v>69</v>
      </c>
      <c r="E70" s="14" t="s">
        <v>70</v>
      </c>
      <c r="F70" s="21" t="n">
        <v>481</v>
      </c>
    </row>
    <row r="71" customFormat="false" ht="15" hidden="false" customHeight="false" outlineLevel="0" collapsed="false">
      <c r="A71" s="18" t="n">
        <v>46104</v>
      </c>
      <c r="B71" s="14" t="s">
        <v>119</v>
      </c>
      <c r="C71" s="14" t="s">
        <v>14</v>
      </c>
      <c r="D71" s="14" t="s">
        <v>73</v>
      </c>
      <c r="E71" s="14" t="s">
        <v>70</v>
      </c>
      <c r="F71" s="21" t="n">
        <v>34</v>
      </c>
    </row>
    <row r="72" customFormat="false" ht="15" hidden="false" customHeight="false" outlineLevel="0" collapsed="false">
      <c r="A72" s="18" t="n">
        <v>46105</v>
      </c>
      <c r="B72" s="14" t="s">
        <v>120</v>
      </c>
      <c r="C72" s="14" t="s">
        <v>12</v>
      </c>
      <c r="D72" s="14" t="s">
        <v>69</v>
      </c>
      <c r="E72" s="14" t="s">
        <v>70</v>
      </c>
      <c r="F72" s="21" t="n">
        <v>609</v>
      </c>
    </row>
    <row r="73" customFormat="false" ht="15" hidden="false" customHeight="false" outlineLevel="0" collapsed="false">
      <c r="A73" s="18" t="n">
        <v>46105</v>
      </c>
      <c r="B73" s="14" t="s">
        <v>120</v>
      </c>
      <c r="C73" s="14" t="s">
        <v>20</v>
      </c>
      <c r="D73" s="14" t="s">
        <v>78</v>
      </c>
      <c r="E73" s="14" t="s">
        <v>70</v>
      </c>
      <c r="F73" s="21" t="n">
        <v>24</v>
      </c>
    </row>
    <row r="74" customFormat="false" ht="15" hidden="false" customHeight="false" outlineLevel="0" collapsed="false">
      <c r="A74" s="18" t="n">
        <v>46105</v>
      </c>
      <c r="B74" s="14" t="s">
        <v>120</v>
      </c>
      <c r="C74" s="14" t="s">
        <v>14</v>
      </c>
      <c r="D74" s="14" t="s">
        <v>73</v>
      </c>
      <c r="E74" s="14" t="s">
        <v>70</v>
      </c>
      <c r="F74" s="21" t="n">
        <v>20</v>
      </c>
    </row>
    <row r="75" customFormat="false" ht="15" hidden="false" customHeight="false" outlineLevel="0" collapsed="false">
      <c r="A75" s="18" t="n">
        <v>46106</v>
      </c>
      <c r="B75" s="14" t="s">
        <v>121</v>
      </c>
      <c r="C75" s="14" t="s">
        <v>12</v>
      </c>
      <c r="D75" s="14" t="s">
        <v>69</v>
      </c>
      <c r="E75" s="14" t="s">
        <v>70</v>
      </c>
      <c r="F75" s="21" t="n">
        <v>937</v>
      </c>
    </row>
    <row r="76" customFormat="false" ht="15" hidden="false" customHeight="false" outlineLevel="0" collapsed="false">
      <c r="A76" s="18" t="n">
        <v>46106</v>
      </c>
      <c r="B76" s="14" t="s">
        <v>121</v>
      </c>
      <c r="C76" s="14" t="s">
        <v>20</v>
      </c>
      <c r="D76" s="14" t="s">
        <v>78</v>
      </c>
      <c r="E76" s="14" t="s">
        <v>70</v>
      </c>
      <c r="F76" s="21" t="n">
        <v>64</v>
      </c>
    </row>
    <row r="77" customFormat="false" ht="15" hidden="false" customHeight="false" outlineLevel="0" collapsed="false">
      <c r="A77" s="18" t="n">
        <v>46106</v>
      </c>
      <c r="B77" s="14" t="s">
        <v>121</v>
      </c>
      <c r="C77" s="14" t="s">
        <v>13</v>
      </c>
      <c r="D77" s="14" t="s">
        <v>74</v>
      </c>
      <c r="E77" s="14" t="s">
        <v>70</v>
      </c>
      <c r="F77" s="21" t="n">
        <v>20</v>
      </c>
    </row>
    <row r="78" customFormat="false" ht="15" hidden="false" customHeight="false" outlineLevel="0" collapsed="false">
      <c r="A78" s="18" t="n">
        <v>46109</v>
      </c>
      <c r="B78" s="14" t="s">
        <v>117</v>
      </c>
      <c r="C78" s="14" t="s">
        <v>12</v>
      </c>
      <c r="D78" s="14" t="s">
        <v>69</v>
      </c>
      <c r="E78" s="14" t="s">
        <v>70</v>
      </c>
      <c r="F78" s="21" t="n">
        <v>850</v>
      </c>
    </row>
    <row r="79" customFormat="false" ht="15" hidden="false" customHeight="false" outlineLevel="0" collapsed="false">
      <c r="A79" s="18" t="n">
        <v>46109</v>
      </c>
      <c r="B79" s="14" t="s">
        <v>117</v>
      </c>
      <c r="C79" s="14" t="s">
        <v>14</v>
      </c>
      <c r="D79" s="14" t="s">
        <v>73</v>
      </c>
      <c r="E79" s="14" t="s">
        <v>70</v>
      </c>
      <c r="F79" s="21" t="n">
        <v>34</v>
      </c>
    </row>
    <row r="80" customFormat="false" ht="15" hidden="false" customHeight="false" outlineLevel="0" collapsed="false">
      <c r="A80" s="18" t="n">
        <v>46110</v>
      </c>
      <c r="B80" s="14" t="s">
        <v>118</v>
      </c>
      <c r="C80" s="14" t="s">
        <v>12</v>
      </c>
      <c r="D80" s="14" t="s">
        <v>69</v>
      </c>
      <c r="E80" s="14" t="s">
        <v>70</v>
      </c>
      <c r="F80" s="21" t="n">
        <v>921</v>
      </c>
    </row>
    <row r="81" customFormat="false" ht="15" hidden="false" customHeight="false" outlineLevel="0" collapsed="false">
      <c r="A81" s="18" t="n">
        <v>46110</v>
      </c>
      <c r="B81" s="14" t="s">
        <v>118</v>
      </c>
      <c r="C81" s="14" t="s">
        <v>14</v>
      </c>
      <c r="D81" s="14" t="s">
        <v>73</v>
      </c>
      <c r="E81" s="14" t="s">
        <v>70</v>
      </c>
      <c r="F81" s="21" t="n">
        <v>47</v>
      </c>
    </row>
    <row r="82" customFormat="false" ht="15" hidden="false" customHeight="false" outlineLevel="0" collapsed="false">
      <c r="A82" s="18" t="n">
        <v>46110</v>
      </c>
      <c r="B82" s="14" t="s">
        <v>118</v>
      </c>
      <c r="C82" s="14" t="s">
        <v>9</v>
      </c>
      <c r="D82" s="14" t="s">
        <v>72</v>
      </c>
      <c r="E82" s="14" t="s">
        <v>70</v>
      </c>
      <c r="F82" s="21" t="n">
        <v>130</v>
      </c>
    </row>
    <row r="83" customFormat="false" ht="15" hidden="false" customHeight="false" outlineLevel="0" collapsed="false">
      <c r="A83" s="18" t="n">
        <v>46111</v>
      </c>
      <c r="B83" s="14" t="s">
        <v>119</v>
      </c>
      <c r="C83" s="14" t="s">
        <v>12</v>
      </c>
      <c r="D83" s="14" t="s">
        <v>72</v>
      </c>
      <c r="E83" s="14" t="s">
        <v>70</v>
      </c>
      <c r="F83" s="21" t="n">
        <v>251</v>
      </c>
    </row>
    <row r="84" customFormat="false" ht="15" hidden="false" customHeight="false" outlineLevel="0" collapsed="false">
      <c r="A84" s="18" t="n">
        <v>46111</v>
      </c>
      <c r="B84" s="14" t="s">
        <v>119</v>
      </c>
      <c r="C84" s="14" t="s">
        <v>20</v>
      </c>
      <c r="D84" s="14" t="s">
        <v>78</v>
      </c>
      <c r="E84" s="14" t="s">
        <v>70</v>
      </c>
      <c r="F84" s="21" t="n">
        <v>15</v>
      </c>
    </row>
    <row r="85" customFormat="false" ht="15" hidden="false" customHeight="false" outlineLevel="0" collapsed="false">
      <c r="A85" s="18" t="n">
        <v>46111</v>
      </c>
      <c r="B85" s="14" t="s">
        <v>119</v>
      </c>
      <c r="C85" s="14" t="s">
        <v>13</v>
      </c>
      <c r="D85" s="14" t="s">
        <v>74</v>
      </c>
      <c r="E85" s="14" t="s">
        <v>70</v>
      </c>
      <c r="F85" s="21" t="n">
        <v>42</v>
      </c>
    </row>
    <row r="86" customFormat="false" ht="15" hidden="false" customHeight="false" outlineLevel="0" collapsed="false">
      <c r="A86" s="18" t="n">
        <v>46111</v>
      </c>
      <c r="B86" s="14" t="s">
        <v>119</v>
      </c>
      <c r="C86" s="14" t="s">
        <v>14</v>
      </c>
      <c r="D86" s="14" t="s">
        <v>73</v>
      </c>
      <c r="E86" s="14" t="s">
        <v>70</v>
      </c>
      <c r="F86" s="21" t="n">
        <v>42</v>
      </c>
    </row>
    <row r="87" customFormat="false" ht="15" hidden="false" customHeight="false" outlineLevel="0" collapsed="false">
      <c r="A87" s="18" t="n">
        <v>46111</v>
      </c>
      <c r="B87" s="14" t="s">
        <v>119</v>
      </c>
      <c r="C87" s="14" t="s">
        <v>9</v>
      </c>
      <c r="D87" s="14" t="s">
        <v>72</v>
      </c>
      <c r="E87" s="14" t="s">
        <v>70</v>
      </c>
      <c r="F87" s="21" t="n">
        <v>90</v>
      </c>
    </row>
    <row r="88" customFormat="false" ht="15" hidden="false" customHeight="false" outlineLevel="0" collapsed="false">
      <c r="A88" s="18" t="n">
        <v>46113</v>
      </c>
      <c r="B88" s="14" t="s">
        <v>121</v>
      </c>
      <c r="C88" s="14" t="s">
        <v>14</v>
      </c>
      <c r="D88" s="14" t="s">
        <v>73</v>
      </c>
      <c r="E88" s="14" t="s">
        <v>70</v>
      </c>
      <c r="F88" s="21" t="n">
        <v>25</v>
      </c>
    </row>
    <row r="89" customFormat="false" ht="15" hidden="false" customHeight="false" outlineLevel="0" collapsed="false">
      <c r="A89" s="18" t="n">
        <v>46113</v>
      </c>
      <c r="B89" s="14" t="s">
        <v>121</v>
      </c>
      <c r="C89" s="14" t="s">
        <v>14</v>
      </c>
      <c r="D89" s="14" t="s">
        <v>74</v>
      </c>
      <c r="E89" s="14" t="s">
        <v>70</v>
      </c>
      <c r="F89" s="21" t="n">
        <v>20</v>
      </c>
    </row>
    <row r="90" customFormat="false" ht="15" hidden="false" customHeight="false" outlineLevel="0" collapsed="false">
      <c r="A90" s="18" t="n">
        <v>46113</v>
      </c>
      <c r="B90" s="14" t="s">
        <v>121</v>
      </c>
      <c r="C90" s="14" t="s">
        <v>9</v>
      </c>
      <c r="D90" s="14" t="s">
        <v>69</v>
      </c>
      <c r="E90" s="14" t="s">
        <v>70</v>
      </c>
      <c r="F90" s="21" t="n">
        <v>75</v>
      </c>
    </row>
    <row r="91" customFormat="false" ht="15" hidden="false" customHeight="false" outlineLevel="0" collapsed="false">
      <c r="A91" s="18" t="n">
        <v>46113</v>
      </c>
      <c r="B91" s="14" t="s">
        <v>121</v>
      </c>
      <c r="C91" s="14" t="s">
        <v>9</v>
      </c>
      <c r="D91" s="14" t="s">
        <v>72</v>
      </c>
      <c r="E91" s="14" t="s">
        <v>70</v>
      </c>
      <c r="F91" s="21" t="n">
        <v>31</v>
      </c>
    </row>
    <row r="92" customFormat="false" ht="15" hidden="false" customHeight="false" outlineLevel="0" collapsed="false">
      <c r="A92" s="18" t="n">
        <v>46113</v>
      </c>
      <c r="B92" s="14" t="s">
        <v>121</v>
      </c>
      <c r="C92" s="14" t="s">
        <v>10</v>
      </c>
      <c r="D92" s="14" t="s">
        <v>72</v>
      </c>
      <c r="E92" s="14" t="s">
        <v>70</v>
      </c>
      <c r="F92" s="21" t="n">
        <v>65</v>
      </c>
    </row>
    <row r="93" customFormat="false" ht="15" hidden="false" customHeight="false" outlineLevel="0" collapsed="false">
      <c r="A93" s="18" t="n">
        <v>46114</v>
      </c>
      <c r="B93" s="14" t="s">
        <v>122</v>
      </c>
      <c r="C93" s="14" t="s">
        <v>13</v>
      </c>
      <c r="D93" s="14" t="s">
        <v>74</v>
      </c>
      <c r="E93" s="14" t="s">
        <v>70</v>
      </c>
      <c r="F93" s="21" t="n">
        <v>58</v>
      </c>
    </row>
    <row r="94" customFormat="false" ht="15" hidden="false" customHeight="false" outlineLevel="0" collapsed="false">
      <c r="A94" s="18" t="n">
        <v>46114</v>
      </c>
      <c r="B94" s="14" t="s">
        <v>122</v>
      </c>
      <c r="C94" s="14" t="s">
        <v>13</v>
      </c>
      <c r="D94" s="14" t="s">
        <v>79</v>
      </c>
      <c r="E94" s="14" t="s">
        <v>70</v>
      </c>
      <c r="F94" s="21" t="n">
        <v>152</v>
      </c>
    </row>
    <row r="95" customFormat="false" ht="15" hidden="false" customHeight="false" outlineLevel="0" collapsed="false">
      <c r="A95" s="18" t="n">
        <v>46114</v>
      </c>
      <c r="B95" s="14" t="s">
        <v>122</v>
      </c>
      <c r="C95" s="14" t="s">
        <v>14</v>
      </c>
      <c r="D95" s="14" t="s">
        <v>73</v>
      </c>
      <c r="E95" s="14" t="s">
        <v>70</v>
      </c>
      <c r="F95" s="21" t="n">
        <v>56</v>
      </c>
    </row>
    <row r="96" customFormat="false" ht="15" hidden="false" customHeight="false" outlineLevel="0" collapsed="false">
      <c r="A96" s="18" t="n">
        <v>46114</v>
      </c>
      <c r="B96" s="14" t="s">
        <v>122</v>
      </c>
      <c r="C96" s="14" t="s">
        <v>9</v>
      </c>
      <c r="D96" s="14" t="s">
        <v>69</v>
      </c>
      <c r="E96" s="14" t="s">
        <v>70</v>
      </c>
      <c r="F96" s="21" t="n">
        <v>164</v>
      </c>
    </row>
    <row r="97" customFormat="false" ht="15" hidden="false" customHeight="false" outlineLevel="0" collapsed="false">
      <c r="A97" s="18" t="n">
        <v>46114</v>
      </c>
      <c r="B97" s="14" t="s">
        <v>122</v>
      </c>
      <c r="C97" s="14" t="s">
        <v>10</v>
      </c>
      <c r="D97" s="14" t="s">
        <v>72</v>
      </c>
      <c r="E97" s="14" t="s">
        <v>70</v>
      </c>
      <c r="F97" s="21" t="n">
        <v>186</v>
      </c>
    </row>
    <row r="98" customFormat="false" ht="15" hidden="false" customHeight="false" outlineLevel="0" collapsed="false">
      <c r="A98" s="18" t="n">
        <v>46116</v>
      </c>
      <c r="B98" s="14" t="s">
        <v>117</v>
      </c>
      <c r="C98" s="14" t="s">
        <v>13</v>
      </c>
      <c r="D98" s="14" t="s">
        <v>79</v>
      </c>
      <c r="E98" s="14" t="s">
        <v>70</v>
      </c>
      <c r="F98" s="21" t="n">
        <v>121</v>
      </c>
    </row>
    <row r="99" customFormat="false" ht="15" hidden="false" customHeight="false" outlineLevel="0" collapsed="false">
      <c r="A99" s="18" t="n">
        <v>46116</v>
      </c>
      <c r="B99" s="14" t="s">
        <v>117</v>
      </c>
      <c r="C99" s="14" t="s">
        <v>14</v>
      </c>
      <c r="D99" s="14" t="s">
        <v>74</v>
      </c>
      <c r="E99" s="14" t="s">
        <v>70</v>
      </c>
      <c r="F99" s="21" t="n">
        <v>25</v>
      </c>
    </row>
    <row r="100" customFormat="false" ht="15" hidden="false" customHeight="false" outlineLevel="0" collapsed="false">
      <c r="A100" s="18" t="n">
        <v>46116</v>
      </c>
      <c r="B100" s="14" t="s">
        <v>117</v>
      </c>
      <c r="C100" s="14" t="s">
        <v>9</v>
      </c>
      <c r="D100" s="14" t="s">
        <v>69</v>
      </c>
      <c r="E100" s="14" t="s">
        <v>70</v>
      </c>
      <c r="F100" s="21" t="n">
        <v>237</v>
      </c>
    </row>
    <row r="101" customFormat="false" ht="15" hidden="false" customHeight="false" outlineLevel="0" collapsed="false">
      <c r="A101" s="18" t="n">
        <v>46117</v>
      </c>
      <c r="B101" s="14" t="s">
        <v>118</v>
      </c>
      <c r="C101" s="14" t="s">
        <v>13</v>
      </c>
      <c r="D101" s="14" t="s">
        <v>75</v>
      </c>
      <c r="E101" s="14" t="s">
        <v>70</v>
      </c>
      <c r="F101" s="21" t="n">
        <v>47</v>
      </c>
    </row>
    <row r="102" customFormat="false" ht="15" hidden="false" customHeight="false" outlineLevel="0" collapsed="false">
      <c r="A102" s="18" t="n">
        <v>46117</v>
      </c>
      <c r="B102" s="14" t="s">
        <v>118</v>
      </c>
      <c r="C102" s="14" t="s">
        <v>14</v>
      </c>
      <c r="D102" s="14" t="s">
        <v>74</v>
      </c>
      <c r="E102" s="14" t="s">
        <v>81</v>
      </c>
      <c r="F102" s="21" t="n">
        <v>58</v>
      </c>
    </row>
    <row r="103" customFormat="false" ht="15" hidden="false" customHeight="false" outlineLevel="0" collapsed="false">
      <c r="A103" s="18" t="n">
        <v>46117</v>
      </c>
      <c r="B103" s="14" t="s">
        <v>118</v>
      </c>
      <c r="C103" s="14" t="s">
        <v>14</v>
      </c>
      <c r="D103" s="14" t="s">
        <v>74</v>
      </c>
      <c r="E103" s="14" t="s">
        <v>70</v>
      </c>
      <c r="F103" s="21" t="n">
        <v>69</v>
      </c>
    </row>
    <row r="104" customFormat="false" ht="15" hidden="false" customHeight="false" outlineLevel="0" collapsed="false">
      <c r="A104" s="18" t="n">
        <v>46117</v>
      </c>
      <c r="B104" s="14" t="s">
        <v>118</v>
      </c>
      <c r="C104" s="14" t="s">
        <v>15</v>
      </c>
      <c r="D104" s="14" t="s">
        <v>75</v>
      </c>
      <c r="E104" s="14" t="s">
        <v>70</v>
      </c>
      <c r="F104" s="21" t="n">
        <v>80</v>
      </c>
    </row>
    <row r="105" customFormat="false" ht="15" hidden="false" customHeight="false" outlineLevel="0" collapsed="false">
      <c r="A105" s="18" t="n">
        <v>46117</v>
      </c>
      <c r="B105" s="14" t="s">
        <v>118</v>
      </c>
      <c r="C105" s="14" t="s">
        <v>9</v>
      </c>
      <c r="D105" s="14" t="s">
        <v>73</v>
      </c>
      <c r="E105" s="14" t="s">
        <v>70</v>
      </c>
      <c r="F105" s="21" t="n">
        <v>144</v>
      </c>
    </row>
    <row r="106" customFormat="false" ht="15" hidden="false" customHeight="false" outlineLevel="0" collapsed="false">
      <c r="A106" s="18" t="n">
        <v>46117</v>
      </c>
      <c r="B106" s="14" t="s">
        <v>118</v>
      </c>
      <c r="C106" s="14" t="s">
        <v>9</v>
      </c>
      <c r="D106" s="14" t="s">
        <v>71</v>
      </c>
      <c r="E106" s="14" t="s">
        <v>70</v>
      </c>
      <c r="F106" s="21" t="n">
        <v>165</v>
      </c>
    </row>
    <row r="107" customFormat="false" ht="15" hidden="false" customHeight="false" outlineLevel="0" collapsed="false">
      <c r="A107" s="18" t="n">
        <v>46117</v>
      </c>
      <c r="B107" s="14" t="s">
        <v>118</v>
      </c>
      <c r="C107" s="14" t="s">
        <v>9</v>
      </c>
      <c r="D107" s="14" t="s">
        <v>69</v>
      </c>
      <c r="E107" s="14" t="s">
        <v>70</v>
      </c>
      <c r="F107" s="21" t="n">
        <v>241</v>
      </c>
    </row>
    <row r="108" customFormat="false" ht="15" hidden="false" customHeight="false" outlineLevel="0" collapsed="false">
      <c r="A108" s="18" t="n">
        <v>46118</v>
      </c>
      <c r="B108" s="14" t="s">
        <v>119</v>
      </c>
      <c r="C108" s="14" t="s">
        <v>13</v>
      </c>
      <c r="D108" s="14" t="s">
        <v>79</v>
      </c>
      <c r="E108" s="14" t="s">
        <v>70</v>
      </c>
      <c r="F108" s="21" t="n">
        <v>102</v>
      </c>
    </row>
    <row r="109" customFormat="false" ht="15" hidden="false" customHeight="false" outlineLevel="0" collapsed="false">
      <c r="A109" s="18" t="n">
        <v>46118</v>
      </c>
      <c r="B109" s="14" t="s">
        <v>119</v>
      </c>
      <c r="C109" s="14" t="s">
        <v>13</v>
      </c>
      <c r="D109" s="14" t="s">
        <v>75</v>
      </c>
      <c r="E109" s="14" t="s">
        <v>70</v>
      </c>
      <c r="F109" s="21" t="n">
        <v>170</v>
      </c>
    </row>
    <row r="110" customFormat="false" ht="15" hidden="false" customHeight="false" outlineLevel="0" collapsed="false">
      <c r="A110" s="18" t="n">
        <v>46118</v>
      </c>
      <c r="B110" s="14" t="s">
        <v>119</v>
      </c>
      <c r="C110" s="14" t="s">
        <v>14</v>
      </c>
      <c r="D110" s="14" t="s">
        <v>74</v>
      </c>
      <c r="E110" s="14" t="s">
        <v>81</v>
      </c>
      <c r="F110" s="21" t="n">
        <v>43</v>
      </c>
    </row>
    <row r="111" customFormat="false" ht="15" hidden="false" customHeight="false" outlineLevel="0" collapsed="false">
      <c r="A111" s="18" t="n">
        <v>46118</v>
      </c>
      <c r="B111" s="14" t="s">
        <v>119</v>
      </c>
      <c r="C111" s="14" t="s">
        <v>14</v>
      </c>
      <c r="D111" s="14" t="s">
        <v>74</v>
      </c>
      <c r="E111" s="14" t="s">
        <v>70</v>
      </c>
      <c r="F111" s="21" t="n">
        <v>39</v>
      </c>
    </row>
    <row r="112" customFormat="false" ht="15" hidden="false" customHeight="false" outlineLevel="0" collapsed="false">
      <c r="A112" s="18" t="n">
        <v>46118</v>
      </c>
      <c r="B112" s="14" t="s">
        <v>119</v>
      </c>
      <c r="C112" s="14" t="s">
        <v>15</v>
      </c>
      <c r="D112" s="14" t="s">
        <v>75</v>
      </c>
      <c r="E112" s="14" t="s">
        <v>70</v>
      </c>
      <c r="F112" s="21" t="n">
        <v>160</v>
      </c>
    </row>
    <row r="113" customFormat="false" ht="15" hidden="false" customHeight="false" outlineLevel="0" collapsed="false">
      <c r="A113" s="18" t="n">
        <v>46118</v>
      </c>
      <c r="B113" s="14" t="s">
        <v>119</v>
      </c>
      <c r="C113" s="14" t="s">
        <v>9</v>
      </c>
      <c r="D113" s="14" t="s">
        <v>69</v>
      </c>
      <c r="E113" s="14" t="s">
        <v>70</v>
      </c>
      <c r="F113" s="21" t="n">
        <v>381</v>
      </c>
    </row>
    <row r="114" customFormat="false" ht="15" hidden="false" customHeight="false" outlineLevel="0" collapsed="false">
      <c r="A114" s="18" t="n">
        <v>46119</v>
      </c>
      <c r="B114" s="14" t="s">
        <v>120</v>
      </c>
      <c r="C114" s="14" t="s">
        <v>13</v>
      </c>
      <c r="D114" s="14" t="s">
        <v>79</v>
      </c>
      <c r="E114" s="14" t="s">
        <v>70</v>
      </c>
      <c r="F114" s="21" t="n">
        <v>111</v>
      </c>
    </row>
    <row r="115" customFormat="false" ht="15" hidden="false" customHeight="false" outlineLevel="0" collapsed="false">
      <c r="A115" s="18" t="n">
        <v>46119</v>
      </c>
      <c r="B115" s="14" t="s">
        <v>120</v>
      </c>
      <c r="C115" s="14" t="s">
        <v>13</v>
      </c>
      <c r="D115" s="14" t="s">
        <v>75</v>
      </c>
      <c r="E115" s="14" t="s">
        <v>70</v>
      </c>
      <c r="F115" s="21" t="n">
        <v>18</v>
      </c>
    </row>
    <row r="116" customFormat="false" ht="15" hidden="false" customHeight="false" outlineLevel="0" collapsed="false">
      <c r="A116" s="18" t="n">
        <v>46119</v>
      </c>
      <c r="B116" s="14" t="s">
        <v>120</v>
      </c>
      <c r="C116" s="14" t="s">
        <v>14</v>
      </c>
      <c r="D116" s="14" t="s">
        <v>73</v>
      </c>
      <c r="E116" s="14" t="s">
        <v>70</v>
      </c>
      <c r="F116" s="21" t="n">
        <v>11</v>
      </c>
    </row>
    <row r="117" customFormat="false" ht="15" hidden="false" customHeight="false" outlineLevel="0" collapsed="false">
      <c r="A117" s="18" t="n">
        <v>46119</v>
      </c>
      <c r="B117" s="14" t="s">
        <v>120</v>
      </c>
      <c r="C117" s="14" t="s">
        <v>14</v>
      </c>
      <c r="D117" s="14" t="s">
        <v>74</v>
      </c>
      <c r="E117" s="14" t="s">
        <v>81</v>
      </c>
      <c r="F117" s="21" t="n">
        <v>42</v>
      </c>
    </row>
    <row r="118" customFormat="false" ht="15" hidden="false" customHeight="false" outlineLevel="0" collapsed="false">
      <c r="A118" s="18" t="n">
        <v>46119</v>
      </c>
      <c r="B118" s="14" t="s">
        <v>120</v>
      </c>
      <c r="C118" s="14" t="s">
        <v>15</v>
      </c>
      <c r="D118" s="14" t="s">
        <v>75</v>
      </c>
      <c r="E118" s="14" t="s">
        <v>70</v>
      </c>
      <c r="F118" s="21" t="n">
        <v>7</v>
      </c>
    </row>
    <row r="119" customFormat="false" ht="15" hidden="false" customHeight="false" outlineLevel="0" collapsed="false">
      <c r="A119" s="18" t="n">
        <v>46123</v>
      </c>
      <c r="B119" s="14" t="s">
        <v>117</v>
      </c>
      <c r="C119" s="14" t="s">
        <v>9</v>
      </c>
      <c r="D119" s="14" t="s">
        <v>69</v>
      </c>
      <c r="E119" s="14" t="s">
        <v>70</v>
      </c>
      <c r="F119" s="21" t="n">
        <v>170</v>
      </c>
    </row>
    <row r="120" customFormat="false" ht="15" hidden="false" customHeight="false" outlineLevel="0" collapsed="false">
      <c r="A120" s="18" t="n">
        <v>46125</v>
      </c>
      <c r="B120" s="14" t="s">
        <v>119</v>
      </c>
      <c r="C120" s="14" t="s">
        <v>9</v>
      </c>
      <c r="D120" s="14" t="s">
        <v>69</v>
      </c>
      <c r="E120" s="14" t="s">
        <v>70</v>
      </c>
      <c r="F120" s="21" t="n">
        <v>358</v>
      </c>
    </row>
    <row r="121" customFormat="false" ht="15" hidden="false" customHeight="false" outlineLevel="0" collapsed="false">
      <c r="A121" s="18" t="n">
        <v>46126</v>
      </c>
      <c r="B121" s="14" t="s">
        <v>120</v>
      </c>
      <c r="C121" s="14" t="s">
        <v>13</v>
      </c>
      <c r="D121" s="14" t="s">
        <v>75</v>
      </c>
      <c r="E121" s="14" t="s">
        <v>70</v>
      </c>
      <c r="F121" s="21" t="n">
        <v>162</v>
      </c>
    </row>
    <row r="122" customFormat="false" ht="15" hidden="false" customHeight="false" outlineLevel="0" collapsed="false">
      <c r="A122" s="18" t="n">
        <v>46126</v>
      </c>
      <c r="B122" s="14" t="s">
        <v>120</v>
      </c>
      <c r="C122" s="14" t="s">
        <v>15</v>
      </c>
      <c r="D122" s="14" t="s">
        <v>75</v>
      </c>
      <c r="E122" s="14" t="s">
        <v>70</v>
      </c>
      <c r="F122" s="21" t="n">
        <v>161</v>
      </c>
    </row>
    <row r="123" customFormat="false" ht="15" hidden="false" customHeight="false" outlineLevel="0" collapsed="false">
      <c r="A123" s="18" t="n">
        <v>46126</v>
      </c>
      <c r="B123" s="14" t="s">
        <v>120</v>
      </c>
      <c r="C123" s="14" t="s">
        <v>9</v>
      </c>
      <c r="D123" s="14" t="s">
        <v>69</v>
      </c>
      <c r="E123" s="14" t="s">
        <v>70</v>
      </c>
      <c r="F123" s="21" t="n">
        <v>299</v>
      </c>
    </row>
    <row r="124" customFormat="false" ht="15" hidden="false" customHeight="false" outlineLevel="0" collapsed="false">
      <c r="A124" s="18" t="n">
        <v>46127</v>
      </c>
      <c r="B124" s="14" t="s">
        <v>121</v>
      </c>
      <c r="C124" s="14" t="s">
        <v>13</v>
      </c>
      <c r="D124" s="14" t="s">
        <v>75</v>
      </c>
      <c r="E124" s="14" t="s">
        <v>70</v>
      </c>
      <c r="F124" s="21" t="n">
        <v>150</v>
      </c>
    </row>
    <row r="125" customFormat="false" ht="15" hidden="false" customHeight="false" outlineLevel="0" collapsed="false">
      <c r="A125" s="18" t="n">
        <v>46127</v>
      </c>
      <c r="B125" s="14" t="s">
        <v>121</v>
      </c>
      <c r="C125" s="14" t="s">
        <v>14</v>
      </c>
      <c r="D125" s="14" t="s">
        <v>74</v>
      </c>
      <c r="E125" s="14" t="s">
        <v>81</v>
      </c>
      <c r="F125" s="21" t="n">
        <v>70</v>
      </c>
    </row>
    <row r="126" customFormat="false" ht="15" hidden="false" customHeight="false" outlineLevel="0" collapsed="false">
      <c r="A126" s="18" t="n">
        <v>46127</v>
      </c>
      <c r="B126" s="14" t="s">
        <v>121</v>
      </c>
      <c r="C126" s="14" t="s">
        <v>15</v>
      </c>
      <c r="D126" s="14" t="s">
        <v>75</v>
      </c>
      <c r="E126" s="14" t="s">
        <v>70</v>
      </c>
      <c r="F126" s="21" t="n">
        <v>195</v>
      </c>
    </row>
    <row r="127" customFormat="false" ht="15" hidden="false" customHeight="false" outlineLevel="0" collapsed="false">
      <c r="A127" s="18" t="n">
        <v>46127</v>
      </c>
      <c r="B127" s="14" t="s">
        <v>121</v>
      </c>
      <c r="C127" s="14" t="s">
        <v>9</v>
      </c>
      <c r="D127" s="14" t="s">
        <v>69</v>
      </c>
      <c r="E127" s="14" t="s">
        <v>70</v>
      </c>
      <c r="F127" s="21" t="n">
        <v>392</v>
      </c>
    </row>
    <row r="128" customFormat="false" ht="15" hidden="false" customHeight="false" outlineLevel="0" collapsed="false">
      <c r="A128" s="18" t="n">
        <v>46128</v>
      </c>
      <c r="B128" s="14" t="s">
        <v>122</v>
      </c>
      <c r="C128" s="14" t="s">
        <v>14</v>
      </c>
      <c r="D128" s="14" t="s">
        <v>74</v>
      </c>
      <c r="E128" s="14" t="s">
        <v>81</v>
      </c>
      <c r="F128" s="21" t="n">
        <v>56</v>
      </c>
    </row>
    <row r="129" customFormat="false" ht="15" hidden="false" customHeight="false" outlineLevel="0" collapsed="false">
      <c r="A129" s="18" t="n">
        <v>46128</v>
      </c>
      <c r="B129" s="14" t="s">
        <v>122</v>
      </c>
      <c r="C129" s="14" t="s">
        <v>15</v>
      </c>
      <c r="D129" s="14" t="s">
        <v>75</v>
      </c>
      <c r="E129" s="14" t="s">
        <v>70</v>
      </c>
      <c r="F129" s="21" t="n">
        <v>198</v>
      </c>
    </row>
    <row r="130" customFormat="false" ht="15" hidden="false" customHeight="false" outlineLevel="0" collapsed="false">
      <c r="A130" s="18" t="n">
        <v>46128</v>
      </c>
      <c r="B130" s="14" t="s">
        <v>122</v>
      </c>
      <c r="C130" s="14" t="s">
        <v>9</v>
      </c>
      <c r="D130" s="14" t="s">
        <v>69</v>
      </c>
      <c r="E130" s="14" t="s">
        <v>70</v>
      </c>
      <c r="F130" s="21" t="n">
        <v>160</v>
      </c>
    </row>
    <row r="131" customFormat="false" ht="15" hidden="false" customHeight="false" outlineLevel="0" collapsed="false">
      <c r="A131" s="18" t="n">
        <v>46128</v>
      </c>
      <c r="B131" s="14" t="s">
        <v>122</v>
      </c>
      <c r="C131" s="14" t="s">
        <v>9</v>
      </c>
      <c r="D131" s="14" t="s">
        <v>69</v>
      </c>
      <c r="E131" s="14" t="s">
        <v>70</v>
      </c>
      <c r="F131" s="21" t="n">
        <v>184</v>
      </c>
    </row>
    <row r="132" customFormat="false" ht="15" hidden="false" customHeight="false" outlineLevel="0" collapsed="false">
      <c r="A132" s="18" t="n">
        <v>46129</v>
      </c>
      <c r="B132" s="14" t="s">
        <v>116</v>
      </c>
      <c r="C132" s="14" t="s">
        <v>14</v>
      </c>
      <c r="D132" s="14" t="s">
        <v>74</v>
      </c>
      <c r="E132" s="14" t="s">
        <v>82</v>
      </c>
      <c r="F132" s="21" t="n">
        <v>50</v>
      </c>
    </row>
    <row r="133" customFormat="false" ht="15" hidden="false" customHeight="false" outlineLevel="0" collapsed="false">
      <c r="A133" s="18" t="n">
        <v>46129</v>
      </c>
      <c r="B133" s="14" t="s">
        <v>116</v>
      </c>
      <c r="C133" s="14" t="s">
        <v>15</v>
      </c>
      <c r="D133" s="14" t="s">
        <v>75</v>
      </c>
      <c r="E133" s="14" t="s">
        <v>70</v>
      </c>
      <c r="F133" s="21" t="n">
        <v>90</v>
      </c>
    </row>
    <row r="134" customFormat="false" ht="15" hidden="false" customHeight="false" outlineLevel="0" collapsed="false">
      <c r="A134" s="18" t="n">
        <v>46129</v>
      </c>
      <c r="B134" s="14" t="s">
        <v>116</v>
      </c>
      <c r="C134" s="14" t="s">
        <v>9</v>
      </c>
      <c r="D134" s="14" t="s">
        <v>69</v>
      </c>
      <c r="E134" s="14" t="s">
        <v>70</v>
      </c>
      <c r="F134" s="21" t="n">
        <v>55</v>
      </c>
    </row>
    <row r="135" customFormat="false" ht="15" hidden="false" customHeight="false" outlineLevel="0" collapsed="false">
      <c r="A135" s="18" t="n">
        <v>46129</v>
      </c>
      <c r="B135" s="14" t="s">
        <v>116</v>
      </c>
      <c r="C135" s="14" t="s">
        <v>9</v>
      </c>
      <c r="D135" s="14" t="s">
        <v>69</v>
      </c>
      <c r="E135" s="14" t="s">
        <v>70</v>
      </c>
      <c r="F135" s="21" t="n">
        <v>153</v>
      </c>
    </row>
    <row r="136" customFormat="false" ht="15" hidden="false" customHeight="false" outlineLevel="0" collapsed="false">
      <c r="A136" s="18" t="n">
        <v>46129</v>
      </c>
      <c r="B136" s="14" t="s">
        <v>116</v>
      </c>
      <c r="C136" s="14" t="s">
        <v>10</v>
      </c>
      <c r="D136" s="14" t="s">
        <v>72</v>
      </c>
      <c r="E136" s="14" t="s">
        <v>70</v>
      </c>
      <c r="F136" s="21" t="n">
        <v>173</v>
      </c>
    </row>
    <row r="137" customFormat="false" ht="15" hidden="false" customHeight="false" outlineLevel="0" collapsed="false">
      <c r="A137" s="18" t="n">
        <v>46130</v>
      </c>
      <c r="B137" s="14" t="s">
        <v>117</v>
      </c>
      <c r="C137" s="14" t="s">
        <v>16</v>
      </c>
      <c r="D137" s="14" t="s">
        <v>74</v>
      </c>
      <c r="E137" s="14" t="s">
        <v>70</v>
      </c>
      <c r="F137" s="21" t="n">
        <v>39</v>
      </c>
    </row>
    <row r="138" customFormat="false" ht="15" hidden="false" customHeight="false" outlineLevel="0" collapsed="false">
      <c r="A138" s="18" t="n">
        <v>46130</v>
      </c>
      <c r="B138" s="14" t="s">
        <v>117</v>
      </c>
      <c r="C138" s="14" t="s">
        <v>17</v>
      </c>
      <c r="D138" s="14" t="s">
        <v>74</v>
      </c>
      <c r="E138" s="14" t="s">
        <v>70</v>
      </c>
      <c r="F138" s="21" t="n">
        <v>39</v>
      </c>
    </row>
    <row r="139" customFormat="false" ht="15" hidden="false" customHeight="false" outlineLevel="0" collapsed="false">
      <c r="A139" s="18" t="n">
        <v>46130</v>
      </c>
      <c r="B139" s="14" t="s">
        <v>117</v>
      </c>
      <c r="C139" s="14" t="s">
        <v>13</v>
      </c>
      <c r="D139" s="14" t="s">
        <v>74</v>
      </c>
      <c r="E139" s="14" t="s">
        <v>70</v>
      </c>
      <c r="F139" s="21" t="n">
        <v>40</v>
      </c>
    </row>
    <row r="140" customFormat="false" ht="15" hidden="false" customHeight="false" outlineLevel="0" collapsed="false">
      <c r="A140" s="18" t="n">
        <v>46130</v>
      </c>
      <c r="B140" s="14" t="s">
        <v>117</v>
      </c>
      <c r="C140" s="14" t="s">
        <v>13</v>
      </c>
      <c r="D140" s="14" t="s">
        <v>76</v>
      </c>
      <c r="E140" s="14" t="s">
        <v>70</v>
      </c>
      <c r="F140" s="21" t="n">
        <v>237</v>
      </c>
    </row>
    <row r="141" customFormat="false" ht="15" hidden="false" customHeight="false" outlineLevel="0" collapsed="false">
      <c r="A141" s="18" t="n">
        <v>46130</v>
      </c>
      <c r="B141" s="14" t="s">
        <v>117</v>
      </c>
      <c r="C141" s="14" t="s">
        <v>14</v>
      </c>
      <c r="D141" s="14" t="s">
        <v>74</v>
      </c>
      <c r="E141" s="14" t="s">
        <v>82</v>
      </c>
      <c r="F141" s="21" t="n">
        <v>44</v>
      </c>
    </row>
    <row r="142" customFormat="false" ht="15" hidden="false" customHeight="false" outlineLevel="0" collapsed="false">
      <c r="A142" s="18" t="n">
        <v>46130</v>
      </c>
      <c r="B142" s="14" t="s">
        <v>117</v>
      </c>
      <c r="C142" s="14" t="s">
        <v>15</v>
      </c>
      <c r="D142" s="14" t="s">
        <v>76</v>
      </c>
      <c r="E142" s="14" t="s">
        <v>70</v>
      </c>
      <c r="F142" s="21" t="n">
        <v>143</v>
      </c>
    </row>
    <row r="143" customFormat="false" ht="15" hidden="false" customHeight="false" outlineLevel="0" collapsed="false">
      <c r="A143" s="18" t="n">
        <v>46130</v>
      </c>
      <c r="B143" s="14" t="s">
        <v>117</v>
      </c>
      <c r="C143" s="14" t="s">
        <v>15</v>
      </c>
      <c r="D143" s="14" t="s">
        <v>75</v>
      </c>
      <c r="E143" s="14" t="s">
        <v>70</v>
      </c>
      <c r="F143" s="21" t="n">
        <v>19</v>
      </c>
    </row>
    <row r="144" customFormat="false" ht="15" hidden="false" customHeight="false" outlineLevel="0" collapsed="false">
      <c r="A144" s="18" t="n">
        <v>46130</v>
      </c>
      <c r="B144" s="14" t="s">
        <v>117</v>
      </c>
      <c r="C144" s="14" t="s">
        <v>9</v>
      </c>
      <c r="D144" s="14" t="s">
        <v>71</v>
      </c>
      <c r="E144" s="14" t="s">
        <v>70</v>
      </c>
      <c r="F144" s="21" t="n">
        <v>198</v>
      </c>
    </row>
    <row r="145" customFormat="false" ht="15" hidden="false" customHeight="false" outlineLevel="0" collapsed="false">
      <c r="A145" s="18" t="n">
        <v>46130</v>
      </c>
      <c r="B145" s="14" t="s">
        <v>117</v>
      </c>
      <c r="C145" s="14" t="s">
        <v>9</v>
      </c>
      <c r="D145" s="14" t="s">
        <v>69</v>
      </c>
      <c r="E145" s="14" t="s">
        <v>70</v>
      </c>
      <c r="F145" s="21" t="n">
        <v>182</v>
      </c>
    </row>
    <row r="146" customFormat="false" ht="15" hidden="false" customHeight="false" outlineLevel="0" collapsed="false">
      <c r="A146" s="18" t="n">
        <v>46131</v>
      </c>
      <c r="B146" s="14" t="s">
        <v>118</v>
      </c>
      <c r="C146" s="14" t="s">
        <v>16</v>
      </c>
      <c r="D146" s="14" t="s">
        <v>74</v>
      </c>
      <c r="E146" s="14" t="s">
        <v>70</v>
      </c>
      <c r="F146" s="21" t="n">
        <v>46</v>
      </c>
    </row>
    <row r="147" customFormat="false" ht="15" hidden="false" customHeight="false" outlineLevel="0" collapsed="false">
      <c r="A147" s="18" t="n">
        <v>46131</v>
      </c>
      <c r="B147" s="14" t="s">
        <v>118</v>
      </c>
      <c r="C147" s="14" t="s">
        <v>17</v>
      </c>
      <c r="D147" s="14" t="s">
        <v>74</v>
      </c>
      <c r="E147" s="14" t="s">
        <v>70</v>
      </c>
      <c r="F147" s="21" t="n">
        <v>46</v>
      </c>
    </row>
    <row r="148" customFormat="false" ht="15" hidden="false" customHeight="false" outlineLevel="0" collapsed="false">
      <c r="A148" s="18" t="n">
        <v>46132</v>
      </c>
      <c r="B148" s="14" t="s">
        <v>119</v>
      </c>
      <c r="C148" s="14" t="s">
        <v>13</v>
      </c>
      <c r="D148" s="14" t="s">
        <v>74</v>
      </c>
      <c r="E148" s="14" t="s">
        <v>70</v>
      </c>
      <c r="F148" s="21" t="n">
        <v>62</v>
      </c>
    </row>
    <row r="149" customFormat="false" ht="15" hidden="false" customHeight="false" outlineLevel="0" collapsed="false">
      <c r="A149" s="18" t="n">
        <v>46132</v>
      </c>
      <c r="B149" s="14" t="s">
        <v>119</v>
      </c>
      <c r="C149" s="14" t="s">
        <v>14</v>
      </c>
      <c r="D149" s="14" t="s">
        <v>74</v>
      </c>
      <c r="E149" s="14" t="s">
        <v>82</v>
      </c>
      <c r="F149" s="21" t="n">
        <v>102.44</v>
      </c>
    </row>
    <row r="150" customFormat="false" ht="15" hidden="false" customHeight="false" outlineLevel="0" collapsed="false">
      <c r="A150" s="18" t="n">
        <v>46132</v>
      </c>
      <c r="B150" s="14" t="s">
        <v>119</v>
      </c>
      <c r="C150" s="14" t="s">
        <v>15</v>
      </c>
      <c r="D150" s="14" t="s">
        <v>76</v>
      </c>
      <c r="E150" s="14" t="s">
        <v>70</v>
      </c>
      <c r="F150" s="21" t="n">
        <v>94</v>
      </c>
    </row>
    <row r="151" customFormat="false" ht="15" hidden="false" customHeight="false" outlineLevel="0" collapsed="false">
      <c r="A151" s="18" t="n">
        <v>46132</v>
      </c>
      <c r="B151" s="14" t="s">
        <v>119</v>
      </c>
      <c r="C151" s="14" t="s">
        <v>9</v>
      </c>
      <c r="D151" s="14" t="s">
        <v>73</v>
      </c>
      <c r="E151" s="14" t="s">
        <v>70</v>
      </c>
      <c r="F151" s="21" t="n">
        <v>165</v>
      </c>
    </row>
    <row r="152" customFormat="false" ht="15" hidden="false" customHeight="false" outlineLevel="0" collapsed="false">
      <c r="A152" s="18" t="n">
        <v>46132</v>
      </c>
      <c r="B152" s="14" t="s">
        <v>119</v>
      </c>
      <c r="C152" s="14" t="s">
        <v>9</v>
      </c>
      <c r="D152" s="14" t="s">
        <v>69</v>
      </c>
      <c r="E152" s="14" t="s">
        <v>70</v>
      </c>
      <c r="F152" s="21" t="n">
        <v>205</v>
      </c>
    </row>
    <row r="153" customFormat="false" ht="15" hidden="false" customHeight="false" outlineLevel="0" collapsed="false">
      <c r="A153" s="18" t="n">
        <v>46132</v>
      </c>
      <c r="B153" s="14" t="s">
        <v>119</v>
      </c>
      <c r="C153" s="14" t="s">
        <v>10</v>
      </c>
      <c r="D153" s="14" t="s">
        <v>72</v>
      </c>
      <c r="E153" s="14" t="s">
        <v>70</v>
      </c>
      <c r="F153" s="21" t="n">
        <v>78</v>
      </c>
    </row>
    <row r="154" customFormat="false" ht="15" hidden="false" customHeight="false" outlineLevel="0" collapsed="false">
      <c r="A154" s="18" t="n">
        <v>46134</v>
      </c>
      <c r="B154" s="14" t="s">
        <v>121</v>
      </c>
      <c r="C154" s="14" t="s">
        <v>13</v>
      </c>
      <c r="D154" s="14" t="s">
        <v>74</v>
      </c>
      <c r="E154" s="14" t="s">
        <v>70</v>
      </c>
      <c r="F154" s="21" t="n">
        <v>31</v>
      </c>
    </row>
    <row r="155" customFormat="false" ht="15" hidden="false" customHeight="false" outlineLevel="0" collapsed="false">
      <c r="A155" s="18" t="n">
        <v>46134</v>
      </c>
      <c r="B155" s="14" t="s">
        <v>121</v>
      </c>
      <c r="C155" s="14" t="s">
        <v>14</v>
      </c>
      <c r="D155" s="14" t="s">
        <v>74</v>
      </c>
      <c r="E155" s="14" t="s">
        <v>82</v>
      </c>
      <c r="F155" s="21" t="n">
        <v>56</v>
      </c>
    </row>
    <row r="156" customFormat="false" ht="15" hidden="false" customHeight="false" outlineLevel="0" collapsed="false">
      <c r="A156" s="18" t="n">
        <v>46134</v>
      </c>
      <c r="B156" s="14" t="s">
        <v>121</v>
      </c>
      <c r="C156" s="14" t="s">
        <v>9</v>
      </c>
      <c r="D156" s="14" t="s">
        <v>73</v>
      </c>
      <c r="E156" s="14" t="s">
        <v>70</v>
      </c>
      <c r="F156" s="21" t="n">
        <v>88</v>
      </c>
    </row>
    <row r="157" customFormat="false" ht="15" hidden="false" customHeight="false" outlineLevel="0" collapsed="false">
      <c r="A157" s="18" t="n">
        <v>46134</v>
      </c>
      <c r="B157" s="14" t="s">
        <v>121</v>
      </c>
      <c r="C157" s="14" t="s">
        <v>9</v>
      </c>
      <c r="D157" s="14" t="s">
        <v>69</v>
      </c>
      <c r="E157" s="14" t="s">
        <v>70</v>
      </c>
      <c r="F157" s="21" t="n">
        <v>485</v>
      </c>
    </row>
    <row r="158" customFormat="false" ht="15" hidden="false" customHeight="false" outlineLevel="0" collapsed="false">
      <c r="A158" s="18" t="n">
        <v>46135</v>
      </c>
      <c r="B158" s="14" t="s">
        <v>122</v>
      </c>
      <c r="C158" s="14" t="s">
        <v>16</v>
      </c>
      <c r="D158" s="14" t="s">
        <v>83</v>
      </c>
      <c r="E158" s="14" t="s">
        <v>70</v>
      </c>
      <c r="F158" s="21" t="n">
        <v>58</v>
      </c>
    </row>
    <row r="159" customFormat="false" ht="15" hidden="false" customHeight="false" outlineLevel="0" collapsed="false">
      <c r="A159" s="18" t="n">
        <v>46135</v>
      </c>
      <c r="B159" s="14" t="s">
        <v>122</v>
      </c>
      <c r="C159" s="14" t="s">
        <v>17</v>
      </c>
      <c r="D159" s="14" t="s">
        <v>83</v>
      </c>
      <c r="E159" s="14" t="s">
        <v>70</v>
      </c>
      <c r="F159" s="21" t="n">
        <v>58</v>
      </c>
    </row>
    <row r="160" customFormat="false" ht="15" hidden="false" customHeight="false" outlineLevel="0" collapsed="false">
      <c r="A160" s="18" t="n">
        <v>46135</v>
      </c>
      <c r="B160" s="14" t="s">
        <v>122</v>
      </c>
      <c r="C160" s="14" t="s">
        <v>13</v>
      </c>
      <c r="D160" s="14" t="s">
        <v>74</v>
      </c>
      <c r="E160" s="14" t="s">
        <v>70</v>
      </c>
      <c r="F160" s="21" t="n">
        <v>54</v>
      </c>
    </row>
    <row r="161" customFormat="false" ht="15" hidden="false" customHeight="false" outlineLevel="0" collapsed="false">
      <c r="A161" s="18" t="n">
        <v>46135</v>
      </c>
      <c r="B161" s="14" t="s">
        <v>122</v>
      </c>
      <c r="C161" s="14" t="s">
        <v>14</v>
      </c>
      <c r="D161" s="14" t="s">
        <v>74</v>
      </c>
      <c r="E161" s="14" t="s">
        <v>82</v>
      </c>
      <c r="F161" s="21" t="n">
        <v>56</v>
      </c>
    </row>
    <row r="162" customFormat="false" ht="15" hidden="false" customHeight="false" outlineLevel="0" collapsed="false">
      <c r="A162" s="18" t="n">
        <v>46135</v>
      </c>
      <c r="B162" s="14" t="s">
        <v>122</v>
      </c>
      <c r="C162" s="14" t="s">
        <v>9</v>
      </c>
      <c r="D162" s="14" t="s">
        <v>73</v>
      </c>
      <c r="E162" s="14" t="s">
        <v>70</v>
      </c>
      <c r="F162" s="21" t="n">
        <v>263</v>
      </c>
    </row>
    <row r="163" customFormat="false" ht="15" hidden="false" customHeight="false" outlineLevel="0" collapsed="false">
      <c r="A163" s="18" t="n">
        <v>46135</v>
      </c>
      <c r="B163" s="14" t="s">
        <v>122</v>
      </c>
      <c r="C163" s="14" t="s">
        <v>9</v>
      </c>
      <c r="D163" s="14" t="s">
        <v>74</v>
      </c>
      <c r="E163" s="14" t="s">
        <v>70</v>
      </c>
      <c r="F163" s="21" t="n">
        <v>20</v>
      </c>
    </row>
    <row r="164" customFormat="false" ht="15" hidden="false" customHeight="false" outlineLevel="0" collapsed="false">
      <c r="A164" s="18" t="n">
        <v>46135</v>
      </c>
      <c r="B164" s="14" t="s">
        <v>122</v>
      </c>
      <c r="C164" s="14" t="s">
        <v>9</v>
      </c>
      <c r="D164" s="14" t="s">
        <v>69</v>
      </c>
      <c r="E164" s="14" t="s">
        <v>70</v>
      </c>
      <c r="F164" s="21" t="n">
        <v>274</v>
      </c>
    </row>
    <row r="165" customFormat="false" ht="15" hidden="false" customHeight="false" outlineLevel="0" collapsed="false">
      <c r="A165" s="18" t="n">
        <v>46137</v>
      </c>
      <c r="B165" s="14" t="s">
        <v>117</v>
      </c>
      <c r="C165" s="14" t="s">
        <v>16</v>
      </c>
      <c r="D165" s="14" t="s">
        <v>83</v>
      </c>
      <c r="E165" s="14" t="s">
        <v>70</v>
      </c>
      <c r="F165" s="21" t="n">
        <v>59</v>
      </c>
    </row>
    <row r="166" customFormat="false" ht="15" hidden="false" customHeight="false" outlineLevel="0" collapsed="false">
      <c r="A166" s="18" t="n">
        <v>46137</v>
      </c>
      <c r="B166" s="14" t="s">
        <v>117</v>
      </c>
      <c r="C166" s="14" t="s">
        <v>17</v>
      </c>
      <c r="D166" s="14" t="s">
        <v>83</v>
      </c>
      <c r="E166" s="14" t="s">
        <v>70</v>
      </c>
      <c r="F166" s="21" t="n">
        <v>59</v>
      </c>
    </row>
    <row r="167" customFormat="false" ht="15" hidden="false" customHeight="false" outlineLevel="0" collapsed="false">
      <c r="A167" s="18" t="n">
        <v>46137</v>
      </c>
      <c r="B167" s="14" t="s">
        <v>117</v>
      </c>
      <c r="C167" s="14" t="s">
        <v>9</v>
      </c>
      <c r="D167" s="14" t="s">
        <v>69</v>
      </c>
      <c r="E167" s="14" t="s">
        <v>70</v>
      </c>
      <c r="F167" s="21" t="n">
        <v>510</v>
      </c>
    </row>
    <row r="168" customFormat="false" ht="15" hidden="false" customHeight="false" outlineLevel="0" collapsed="false">
      <c r="A168" s="18" t="n">
        <v>46138</v>
      </c>
      <c r="B168" s="14" t="s">
        <v>118</v>
      </c>
      <c r="C168" s="14" t="s">
        <v>16</v>
      </c>
      <c r="D168" s="14" t="s">
        <v>79</v>
      </c>
      <c r="E168" s="14" t="s">
        <v>70</v>
      </c>
      <c r="F168" s="21" t="n">
        <v>29</v>
      </c>
    </row>
    <row r="169" customFormat="false" ht="15" hidden="false" customHeight="false" outlineLevel="0" collapsed="false">
      <c r="A169" s="18" t="n">
        <v>46138</v>
      </c>
      <c r="B169" s="14" t="s">
        <v>118</v>
      </c>
      <c r="C169" s="14" t="s">
        <v>16</v>
      </c>
      <c r="D169" s="14" t="s">
        <v>78</v>
      </c>
      <c r="E169" s="14" t="s">
        <v>70</v>
      </c>
      <c r="F169" s="21" t="n">
        <v>29</v>
      </c>
    </row>
    <row r="170" customFormat="false" ht="15" hidden="false" customHeight="false" outlineLevel="0" collapsed="false">
      <c r="A170" s="18" t="n">
        <v>46138</v>
      </c>
      <c r="B170" s="14" t="s">
        <v>118</v>
      </c>
      <c r="C170" s="14" t="s">
        <v>17</v>
      </c>
      <c r="D170" s="14" t="s">
        <v>79</v>
      </c>
      <c r="E170" s="14" t="s">
        <v>70</v>
      </c>
      <c r="F170" s="21" t="n">
        <v>29</v>
      </c>
    </row>
    <row r="171" customFormat="false" ht="15" hidden="false" customHeight="false" outlineLevel="0" collapsed="false">
      <c r="A171" s="18" t="n">
        <v>46138</v>
      </c>
      <c r="B171" s="14" t="s">
        <v>118</v>
      </c>
      <c r="C171" s="14" t="s">
        <v>17</v>
      </c>
      <c r="D171" s="14" t="s">
        <v>78</v>
      </c>
      <c r="E171" s="14" t="s">
        <v>70</v>
      </c>
      <c r="F171" s="21" t="n">
        <v>29</v>
      </c>
    </row>
    <row r="172" customFormat="false" ht="15" hidden="false" customHeight="false" outlineLevel="0" collapsed="false">
      <c r="A172" s="18" t="n">
        <v>46138</v>
      </c>
      <c r="B172" s="14" t="s">
        <v>118</v>
      </c>
      <c r="C172" s="14" t="s">
        <v>13</v>
      </c>
      <c r="D172" s="14" t="s">
        <v>78</v>
      </c>
      <c r="E172" s="14" t="s">
        <v>70</v>
      </c>
      <c r="F172" s="21" t="n">
        <v>58</v>
      </c>
    </row>
    <row r="173" customFormat="false" ht="15" hidden="false" customHeight="false" outlineLevel="0" collapsed="false">
      <c r="A173" s="18" t="n">
        <v>46138</v>
      </c>
      <c r="B173" s="14" t="s">
        <v>118</v>
      </c>
      <c r="C173" s="14" t="s">
        <v>14</v>
      </c>
      <c r="D173" s="14" t="s">
        <v>74</v>
      </c>
      <c r="E173" s="14" t="s">
        <v>70</v>
      </c>
      <c r="F173" s="21" t="n">
        <v>58</v>
      </c>
    </row>
    <row r="174" customFormat="false" ht="15" hidden="false" customHeight="false" outlineLevel="0" collapsed="false">
      <c r="A174" s="18" t="n">
        <v>46138</v>
      </c>
      <c r="B174" s="14" t="s">
        <v>118</v>
      </c>
      <c r="C174" s="14" t="s">
        <v>9</v>
      </c>
      <c r="D174" s="14" t="s">
        <v>69</v>
      </c>
      <c r="E174" s="14" t="s">
        <v>70</v>
      </c>
      <c r="F174" s="21" t="n">
        <v>642</v>
      </c>
    </row>
    <row r="175" customFormat="false" ht="15" hidden="false" customHeight="false" outlineLevel="0" collapsed="false">
      <c r="A175" s="18" t="n">
        <v>46139</v>
      </c>
      <c r="B175" s="14" t="s">
        <v>119</v>
      </c>
      <c r="C175" s="14" t="s">
        <v>16</v>
      </c>
      <c r="D175" s="14" t="s">
        <v>78</v>
      </c>
      <c r="E175" s="14" t="s">
        <v>70</v>
      </c>
      <c r="F175" s="21" t="n">
        <v>17</v>
      </c>
    </row>
    <row r="176" customFormat="false" ht="15" hidden="false" customHeight="false" outlineLevel="0" collapsed="false">
      <c r="A176" s="18" t="n">
        <v>46139</v>
      </c>
      <c r="B176" s="14" t="s">
        <v>119</v>
      </c>
      <c r="C176" s="14" t="s">
        <v>17</v>
      </c>
      <c r="D176" s="14" t="s">
        <v>78</v>
      </c>
      <c r="E176" s="14" t="s">
        <v>70</v>
      </c>
      <c r="F176" s="21" t="n">
        <v>17</v>
      </c>
    </row>
    <row r="177" customFormat="false" ht="15" hidden="false" customHeight="false" outlineLevel="0" collapsed="false">
      <c r="A177" s="18" t="n">
        <v>46139</v>
      </c>
      <c r="B177" s="14" t="s">
        <v>119</v>
      </c>
      <c r="C177" s="14" t="s">
        <v>13</v>
      </c>
      <c r="D177" s="14" t="s">
        <v>78</v>
      </c>
      <c r="E177" s="14" t="s">
        <v>70</v>
      </c>
      <c r="F177" s="21" t="n">
        <v>45</v>
      </c>
    </row>
    <row r="178" customFormat="false" ht="15" hidden="false" customHeight="false" outlineLevel="0" collapsed="false">
      <c r="A178" s="18" t="n">
        <v>46139</v>
      </c>
      <c r="B178" s="14" t="s">
        <v>119</v>
      </c>
      <c r="C178" s="14" t="s">
        <v>14</v>
      </c>
      <c r="D178" s="14" t="s">
        <v>74</v>
      </c>
      <c r="E178" s="14" t="s">
        <v>70</v>
      </c>
      <c r="F178" s="21" t="n">
        <v>1</v>
      </c>
    </row>
    <row r="179" customFormat="false" ht="15" hidden="false" customHeight="false" outlineLevel="0" collapsed="false">
      <c r="A179" s="18" t="n">
        <v>46139</v>
      </c>
      <c r="B179" s="14" t="s">
        <v>119</v>
      </c>
      <c r="C179" s="14" t="s">
        <v>14</v>
      </c>
      <c r="D179" s="14" t="s">
        <v>74</v>
      </c>
      <c r="E179" s="14" t="s">
        <v>82</v>
      </c>
      <c r="F179" s="21" t="n">
        <v>64.9</v>
      </c>
    </row>
    <row r="180" customFormat="false" ht="15" hidden="false" customHeight="false" outlineLevel="0" collapsed="false">
      <c r="A180" s="18" t="n">
        <v>46139</v>
      </c>
      <c r="B180" s="14" t="s">
        <v>119</v>
      </c>
      <c r="C180" s="14" t="s">
        <v>9</v>
      </c>
      <c r="D180" s="14" t="s">
        <v>69</v>
      </c>
      <c r="E180" s="14" t="s">
        <v>70</v>
      </c>
      <c r="F180" s="21" t="n">
        <v>95</v>
      </c>
    </row>
    <row r="181" customFormat="false" ht="15" hidden="false" customHeight="false" outlineLevel="0" collapsed="false">
      <c r="A181" s="18" t="n">
        <v>46139</v>
      </c>
      <c r="B181" s="14" t="s">
        <v>119</v>
      </c>
      <c r="C181" s="14" t="s">
        <v>10</v>
      </c>
      <c r="D181" s="14" t="s">
        <v>69</v>
      </c>
      <c r="E181" s="14" t="s">
        <v>70</v>
      </c>
      <c r="F181" s="21" t="n">
        <v>64</v>
      </c>
    </row>
    <row r="182" customFormat="false" ht="15" hidden="false" customHeight="false" outlineLevel="0" collapsed="false">
      <c r="A182" s="18" t="n">
        <v>46140</v>
      </c>
      <c r="B182" s="14" t="s">
        <v>120</v>
      </c>
      <c r="C182" s="14" t="s">
        <v>14</v>
      </c>
      <c r="D182" s="14" t="s">
        <v>74</v>
      </c>
      <c r="E182" s="14" t="s">
        <v>82</v>
      </c>
      <c r="F182" s="21" t="n">
        <v>22.6</v>
      </c>
    </row>
    <row r="183" customFormat="false" ht="15" hidden="false" customHeight="false" outlineLevel="0" collapsed="false">
      <c r="A183" s="18" t="n">
        <v>46140</v>
      </c>
      <c r="B183" s="14" t="s">
        <v>120</v>
      </c>
      <c r="C183" s="14" t="s">
        <v>9</v>
      </c>
      <c r="D183" s="14" t="s">
        <v>69</v>
      </c>
      <c r="E183" s="14" t="s">
        <v>70</v>
      </c>
      <c r="F183" s="21" t="n">
        <v>541</v>
      </c>
    </row>
    <row r="184" customFormat="false" ht="15" hidden="false" customHeight="false" outlineLevel="0" collapsed="false">
      <c r="A184" s="18" t="n">
        <v>46140</v>
      </c>
      <c r="B184" s="14" t="s">
        <v>120</v>
      </c>
      <c r="C184" s="14" t="s">
        <v>10</v>
      </c>
      <c r="D184" s="14" t="s">
        <v>69</v>
      </c>
      <c r="E184" s="14" t="s">
        <v>70</v>
      </c>
      <c r="F184" s="21" t="n">
        <v>541</v>
      </c>
    </row>
    <row r="185" customFormat="false" ht="15" hidden="false" customHeight="false" outlineLevel="0" collapsed="false">
      <c r="A185" s="18" t="n">
        <v>46141</v>
      </c>
      <c r="B185" s="14" t="s">
        <v>121</v>
      </c>
      <c r="C185" s="14" t="s">
        <v>14</v>
      </c>
      <c r="D185" s="14" t="s">
        <v>74</v>
      </c>
      <c r="E185" s="14" t="s">
        <v>70</v>
      </c>
      <c r="F185" s="21" t="n">
        <v>43</v>
      </c>
    </row>
    <row r="186" customFormat="false" ht="15" hidden="false" customHeight="false" outlineLevel="0" collapsed="false">
      <c r="A186" s="18" t="n">
        <v>46141</v>
      </c>
      <c r="B186" s="14" t="s">
        <v>121</v>
      </c>
      <c r="C186" s="14" t="s">
        <v>14</v>
      </c>
      <c r="D186" s="14" t="s">
        <v>74</v>
      </c>
      <c r="E186" s="14" t="s">
        <v>82</v>
      </c>
      <c r="F186" s="21" t="n">
        <v>44.16</v>
      </c>
    </row>
    <row r="187" customFormat="false" ht="15" hidden="false" customHeight="false" outlineLevel="0" collapsed="false">
      <c r="A187" s="18" t="n">
        <v>46141</v>
      </c>
      <c r="B187" s="14" t="s">
        <v>121</v>
      </c>
      <c r="C187" s="14" t="s">
        <v>9</v>
      </c>
      <c r="D187" s="14" t="s">
        <v>69</v>
      </c>
      <c r="E187" s="14" t="s">
        <v>70</v>
      </c>
      <c r="F187" s="21" t="n">
        <v>312</v>
      </c>
    </row>
    <row r="188" customFormat="false" ht="15" hidden="false" customHeight="false" outlineLevel="0" collapsed="false">
      <c r="A188" s="18" t="n">
        <v>46141</v>
      </c>
      <c r="B188" s="14" t="s">
        <v>121</v>
      </c>
      <c r="C188" s="14" t="s">
        <v>10</v>
      </c>
      <c r="D188" s="14" t="s">
        <v>69</v>
      </c>
      <c r="E188" s="14" t="s">
        <v>70</v>
      </c>
      <c r="F188" s="21" t="n">
        <v>312</v>
      </c>
    </row>
    <row r="189" customFormat="false" ht="15" hidden="false" customHeight="false" outlineLevel="0" collapsed="false">
      <c r="A189" s="18" t="n">
        <v>46142</v>
      </c>
      <c r="B189" s="14" t="s">
        <v>122</v>
      </c>
      <c r="C189" s="14" t="s">
        <v>14</v>
      </c>
      <c r="D189" s="14" t="s">
        <v>74</v>
      </c>
      <c r="E189" s="14" t="s">
        <v>70</v>
      </c>
      <c r="F189" s="21" t="n">
        <v>49</v>
      </c>
    </row>
    <row r="190" customFormat="false" ht="15" hidden="false" customHeight="false" outlineLevel="0" collapsed="false">
      <c r="A190" s="18" t="n">
        <v>46142</v>
      </c>
      <c r="B190" s="14" t="s">
        <v>122</v>
      </c>
      <c r="C190" s="14" t="s">
        <v>9</v>
      </c>
      <c r="D190" s="14" t="s">
        <v>69</v>
      </c>
      <c r="E190" s="14" t="s">
        <v>70</v>
      </c>
      <c r="F190" s="21" t="n">
        <v>345</v>
      </c>
    </row>
    <row r="191" customFormat="false" ht="15" hidden="false" customHeight="false" outlineLevel="0" collapsed="false">
      <c r="A191" s="18" t="n">
        <v>46142</v>
      </c>
      <c r="B191" s="14" t="s">
        <v>122</v>
      </c>
      <c r="C191" s="14" t="s">
        <v>10</v>
      </c>
      <c r="D191" s="14" t="s">
        <v>73</v>
      </c>
      <c r="E191" s="14" t="s">
        <v>70</v>
      </c>
      <c r="F191" s="21" t="n">
        <v>369</v>
      </c>
    </row>
    <row r="192" customFormat="false" ht="15" hidden="false" customHeight="false" outlineLevel="0" collapsed="false">
      <c r="A192" s="18" t="n">
        <v>46142</v>
      </c>
      <c r="B192" s="14" t="s">
        <v>122</v>
      </c>
      <c r="C192" s="14" t="s">
        <v>10</v>
      </c>
      <c r="D192" s="14" t="s">
        <v>69</v>
      </c>
      <c r="E192" s="14" t="s">
        <v>70</v>
      </c>
      <c r="F192" s="21" t="n">
        <v>345</v>
      </c>
    </row>
    <row r="193" customFormat="false" ht="15" hidden="false" customHeight="false" outlineLevel="0" collapsed="false">
      <c r="A193" s="18" t="n">
        <v>46143</v>
      </c>
      <c r="B193" s="14" t="s">
        <v>116</v>
      </c>
      <c r="C193" s="14" t="s">
        <v>14</v>
      </c>
      <c r="D193" s="14" t="s">
        <v>74</v>
      </c>
      <c r="E193" s="14" t="s">
        <v>70</v>
      </c>
      <c r="F193" s="21" t="n">
        <v>30</v>
      </c>
    </row>
    <row r="194" customFormat="false" ht="15" hidden="false" customHeight="false" outlineLevel="0" collapsed="false">
      <c r="A194" s="18" t="n">
        <v>46144</v>
      </c>
      <c r="B194" s="14" t="s">
        <v>117</v>
      </c>
      <c r="C194" s="14" t="s">
        <v>20</v>
      </c>
      <c r="D194" s="14" t="s">
        <v>74</v>
      </c>
      <c r="E194" s="14" t="s">
        <v>70</v>
      </c>
      <c r="F194" s="21" t="n">
        <v>54</v>
      </c>
    </row>
    <row r="195" customFormat="false" ht="15" hidden="false" customHeight="false" outlineLevel="0" collapsed="false">
      <c r="A195" s="18" t="n">
        <v>46145</v>
      </c>
      <c r="B195" s="14" t="s">
        <v>118</v>
      </c>
      <c r="C195" s="14" t="s">
        <v>14</v>
      </c>
      <c r="D195" s="14" t="s">
        <v>73</v>
      </c>
      <c r="E195" s="14" t="s">
        <v>70</v>
      </c>
      <c r="F195" s="21" t="n">
        <v>16</v>
      </c>
    </row>
    <row r="196" customFormat="false" ht="15" hidden="false" customHeight="false" outlineLevel="0" collapsed="false">
      <c r="A196" s="18" t="n">
        <v>46145</v>
      </c>
      <c r="B196" s="14" t="s">
        <v>118</v>
      </c>
      <c r="C196" s="14" t="s">
        <v>14</v>
      </c>
      <c r="D196" s="14" t="s">
        <v>74</v>
      </c>
      <c r="E196" s="14" t="s">
        <v>70</v>
      </c>
      <c r="F196" s="21" t="n">
        <v>32</v>
      </c>
    </row>
    <row r="197" customFormat="false" ht="15" hidden="false" customHeight="false" outlineLevel="0" collapsed="false">
      <c r="A197" s="18" t="n">
        <v>46145</v>
      </c>
      <c r="B197" s="14" t="s">
        <v>118</v>
      </c>
      <c r="C197" s="14" t="s">
        <v>9</v>
      </c>
      <c r="D197" s="14" t="s">
        <v>74</v>
      </c>
      <c r="E197" s="14" t="s">
        <v>70</v>
      </c>
      <c r="F197" s="21" t="n">
        <v>133</v>
      </c>
    </row>
    <row r="198" customFormat="false" ht="15" hidden="false" customHeight="false" outlineLevel="0" collapsed="false">
      <c r="A198" s="18" t="n">
        <v>46145</v>
      </c>
      <c r="B198" s="14" t="s">
        <v>118</v>
      </c>
      <c r="C198" s="14" t="s">
        <v>9</v>
      </c>
      <c r="D198" s="14" t="s">
        <v>69</v>
      </c>
      <c r="E198" s="14" t="s">
        <v>70</v>
      </c>
      <c r="F198" s="21" t="n">
        <v>226</v>
      </c>
    </row>
    <row r="199" customFormat="false" ht="15" hidden="false" customHeight="false" outlineLevel="0" collapsed="false">
      <c r="A199" s="18" t="n">
        <v>46146</v>
      </c>
      <c r="B199" s="14" t="s">
        <v>119</v>
      </c>
      <c r="C199" s="14" t="s">
        <v>14</v>
      </c>
      <c r="D199" s="14" t="s">
        <v>73</v>
      </c>
      <c r="E199" s="14" t="s">
        <v>70</v>
      </c>
      <c r="F199" s="21" t="n">
        <v>31</v>
      </c>
    </row>
    <row r="200" customFormat="false" ht="15" hidden="false" customHeight="false" outlineLevel="0" collapsed="false">
      <c r="A200" s="18" t="n">
        <v>46147</v>
      </c>
      <c r="B200" s="14" t="s">
        <v>120</v>
      </c>
      <c r="C200" s="14" t="s">
        <v>18</v>
      </c>
      <c r="D200" s="14" t="s">
        <v>77</v>
      </c>
      <c r="E200" s="14" t="s">
        <v>70</v>
      </c>
      <c r="F200" s="21" t="n">
        <v>17</v>
      </c>
    </row>
    <row r="201" customFormat="false" ht="15" hidden="false" customHeight="false" outlineLevel="0" collapsed="false">
      <c r="A201" s="18" t="n">
        <v>46147</v>
      </c>
      <c r="B201" s="14" t="s">
        <v>120</v>
      </c>
      <c r="C201" s="14" t="s">
        <v>14</v>
      </c>
      <c r="D201" s="14" t="s">
        <v>74</v>
      </c>
      <c r="E201" s="14" t="s">
        <v>70</v>
      </c>
      <c r="F201" s="21" t="n">
        <v>35</v>
      </c>
    </row>
    <row r="202" customFormat="false" ht="15" hidden="false" customHeight="false" outlineLevel="0" collapsed="false">
      <c r="A202" s="18" t="n">
        <v>46148</v>
      </c>
      <c r="B202" s="14" t="s">
        <v>121</v>
      </c>
      <c r="C202" s="14" t="s">
        <v>13</v>
      </c>
      <c r="D202" s="14" t="s">
        <v>80</v>
      </c>
      <c r="E202" s="14" t="s">
        <v>70</v>
      </c>
      <c r="F202" s="21" t="n">
        <v>59</v>
      </c>
    </row>
    <row r="203" customFormat="false" ht="15" hidden="false" customHeight="false" outlineLevel="0" collapsed="false">
      <c r="A203" s="18" t="n">
        <v>46148</v>
      </c>
      <c r="B203" s="14" t="s">
        <v>121</v>
      </c>
      <c r="C203" s="14" t="s">
        <v>18</v>
      </c>
      <c r="D203" s="14" t="s">
        <v>77</v>
      </c>
      <c r="E203" s="14" t="s">
        <v>70</v>
      </c>
      <c r="F203" s="21" t="n">
        <v>2</v>
      </c>
    </row>
    <row r="204" customFormat="false" ht="15" hidden="false" customHeight="false" outlineLevel="0" collapsed="false">
      <c r="A204" s="18" t="n">
        <v>46148</v>
      </c>
      <c r="B204" s="14" t="s">
        <v>121</v>
      </c>
      <c r="C204" s="14" t="s">
        <v>14</v>
      </c>
      <c r="D204" s="14" t="s">
        <v>74</v>
      </c>
      <c r="E204" s="14" t="s">
        <v>70</v>
      </c>
      <c r="F204" s="21" t="n">
        <v>19</v>
      </c>
    </row>
    <row r="205" customFormat="false" ht="15" hidden="false" customHeight="false" outlineLevel="0" collapsed="false">
      <c r="A205" s="18" t="n">
        <v>46148</v>
      </c>
      <c r="B205" s="14" t="s">
        <v>121</v>
      </c>
      <c r="C205" s="14" t="s">
        <v>9</v>
      </c>
      <c r="D205" s="14" t="s">
        <v>73</v>
      </c>
      <c r="E205" s="14" t="s">
        <v>70</v>
      </c>
      <c r="F205" s="21" t="n">
        <v>47</v>
      </c>
    </row>
    <row r="206" customFormat="false" ht="15" hidden="false" customHeight="false" outlineLevel="0" collapsed="false">
      <c r="A206" s="18" t="n">
        <v>46148</v>
      </c>
      <c r="B206" s="14" t="s">
        <v>121</v>
      </c>
      <c r="C206" s="14" t="s">
        <v>10</v>
      </c>
      <c r="D206" s="14" t="s">
        <v>73</v>
      </c>
      <c r="E206" s="14" t="s">
        <v>70</v>
      </c>
      <c r="F206" s="21" t="n">
        <v>45</v>
      </c>
    </row>
    <row r="207" customFormat="false" ht="15" hidden="false" customHeight="false" outlineLevel="0" collapsed="false">
      <c r="A207" s="18" t="n">
        <v>46149</v>
      </c>
      <c r="B207" s="14" t="s">
        <v>122</v>
      </c>
      <c r="C207" s="14" t="s">
        <v>18</v>
      </c>
      <c r="D207" s="14" t="s">
        <v>77</v>
      </c>
      <c r="E207" s="14" t="s">
        <v>70</v>
      </c>
      <c r="F207" s="21" t="n">
        <v>58</v>
      </c>
    </row>
    <row r="208" customFormat="false" ht="15" hidden="false" customHeight="false" outlineLevel="0" collapsed="false">
      <c r="A208" s="18" t="n">
        <v>46149</v>
      </c>
      <c r="B208" s="14" t="s">
        <v>122</v>
      </c>
      <c r="C208" s="14" t="s">
        <v>9</v>
      </c>
      <c r="D208" s="14" t="s">
        <v>73</v>
      </c>
      <c r="E208" s="14" t="s">
        <v>70</v>
      </c>
      <c r="F208" s="21" t="n">
        <v>205</v>
      </c>
    </row>
    <row r="209" customFormat="false" ht="15" hidden="false" customHeight="false" outlineLevel="0" collapsed="false">
      <c r="A209" s="18" t="n">
        <v>46149</v>
      </c>
      <c r="B209" s="14" t="s">
        <v>122</v>
      </c>
      <c r="C209" s="14" t="s">
        <v>9</v>
      </c>
      <c r="D209" s="14" t="s">
        <v>74</v>
      </c>
      <c r="E209" s="14" t="s">
        <v>70</v>
      </c>
      <c r="F209" s="21" t="n">
        <v>20</v>
      </c>
    </row>
    <row r="210" customFormat="false" ht="15" hidden="false" customHeight="false" outlineLevel="0" collapsed="false">
      <c r="A210" s="18" t="n">
        <v>46150</v>
      </c>
      <c r="B210" s="14" t="s">
        <v>116</v>
      </c>
      <c r="C210" s="14" t="s">
        <v>20</v>
      </c>
      <c r="D210" s="14" t="s">
        <v>78</v>
      </c>
      <c r="E210" s="14" t="s">
        <v>70</v>
      </c>
      <c r="F210" s="21" t="n">
        <v>20</v>
      </c>
    </row>
    <row r="211" customFormat="false" ht="15" hidden="false" customHeight="false" outlineLevel="0" collapsed="false">
      <c r="A211" s="18" t="n">
        <v>46150</v>
      </c>
      <c r="B211" s="14" t="s">
        <v>116</v>
      </c>
      <c r="C211" s="14" t="s">
        <v>21</v>
      </c>
      <c r="D211" s="14" t="s">
        <v>78</v>
      </c>
      <c r="E211" s="14" t="s">
        <v>70</v>
      </c>
      <c r="F211" s="21" t="n">
        <v>33</v>
      </c>
    </row>
    <row r="212" customFormat="false" ht="15" hidden="false" customHeight="false" outlineLevel="0" collapsed="false">
      <c r="A212" s="18" t="n">
        <v>46150</v>
      </c>
      <c r="B212" s="14" t="s">
        <v>116</v>
      </c>
      <c r="C212" s="14" t="s">
        <v>18</v>
      </c>
      <c r="D212" s="14" t="s">
        <v>84</v>
      </c>
      <c r="E212" s="14" t="s">
        <v>85</v>
      </c>
      <c r="F212" s="21" t="n">
        <v>72</v>
      </c>
    </row>
    <row r="213" customFormat="false" ht="15" hidden="false" customHeight="false" outlineLevel="0" collapsed="false">
      <c r="A213" s="18" t="n">
        <v>46150</v>
      </c>
      <c r="B213" s="14" t="s">
        <v>116</v>
      </c>
      <c r="C213" s="14" t="s">
        <v>18</v>
      </c>
      <c r="D213" s="14" t="s">
        <v>77</v>
      </c>
      <c r="E213" s="14" t="s">
        <v>70</v>
      </c>
      <c r="F213" s="21" t="n">
        <v>40</v>
      </c>
    </row>
    <row r="214" customFormat="false" ht="15" hidden="false" customHeight="false" outlineLevel="0" collapsed="false">
      <c r="A214" s="18" t="n">
        <v>46150</v>
      </c>
      <c r="B214" s="14" t="s">
        <v>116</v>
      </c>
      <c r="C214" s="14" t="s">
        <v>9</v>
      </c>
      <c r="D214" s="14" t="s">
        <v>69</v>
      </c>
      <c r="E214" s="14" t="s">
        <v>70</v>
      </c>
      <c r="F214" s="21" t="n">
        <v>567</v>
      </c>
    </row>
    <row r="215" customFormat="false" ht="15" hidden="false" customHeight="false" outlineLevel="0" collapsed="false">
      <c r="A215" s="18" t="n">
        <v>46151</v>
      </c>
      <c r="B215" s="14" t="s">
        <v>117</v>
      </c>
      <c r="C215" s="14" t="s">
        <v>21</v>
      </c>
      <c r="D215" s="14" t="s">
        <v>78</v>
      </c>
      <c r="E215" s="14" t="s">
        <v>70</v>
      </c>
      <c r="F215" s="21" t="n">
        <v>25</v>
      </c>
    </row>
    <row r="216" customFormat="false" ht="15" hidden="false" customHeight="false" outlineLevel="0" collapsed="false">
      <c r="A216" s="18" t="n">
        <v>46152</v>
      </c>
      <c r="B216" s="14" t="s">
        <v>118</v>
      </c>
      <c r="C216" s="14" t="s">
        <v>11</v>
      </c>
      <c r="D216" s="14" t="s">
        <v>73</v>
      </c>
      <c r="E216" s="14" t="s">
        <v>70</v>
      </c>
      <c r="F216" s="21" t="n">
        <v>111</v>
      </c>
    </row>
    <row r="217" customFormat="false" ht="15" hidden="false" customHeight="false" outlineLevel="0" collapsed="false">
      <c r="A217" s="18" t="n">
        <v>46152</v>
      </c>
      <c r="B217" s="14" t="s">
        <v>118</v>
      </c>
      <c r="C217" s="14" t="s">
        <v>20</v>
      </c>
      <c r="D217" s="14" t="s">
        <v>78</v>
      </c>
      <c r="E217" s="14" t="s">
        <v>70</v>
      </c>
      <c r="F217" s="21" t="n">
        <v>26</v>
      </c>
    </row>
    <row r="218" customFormat="false" ht="15" hidden="false" customHeight="false" outlineLevel="0" collapsed="false">
      <c r="A218" s="18" t="n">
        <v>46152</v>
      </c>
      <c r="B218" s="14" t="s">
        <v>118</v>
      </c>
      <c r="C218" s="14" t="s">
        <v>9</v>
      </c>
      <c r="D218" s="14" t="s">
        <v>69</v>
      </c>
      <c r="E218" s="14" t="s">
        <v>70</v>
      </c>
      <c r="F218" s="21" t="n">
        <v>486</v>
      </c>
    </row>
    <row r="219" customFormat="false" ht="15" hidden="false" customHeight="false" outlineLevel="0" collapsed="false">
      <c r="A219" s="18" t="n">
        <v>46153</v>
      </c>
      <c r="B219" s="14" t="s">
        <v>119</v>
      </c>
      <c r="C219" s="14" t="s">
        <v>11</v>
      </c>
      <c r="D219" s="14" t="s">
        <v>73</v>
      </c>
      <c r="E219" s="14" t="s">
        <v>70</v>
      </c>
      <c r="F219" s="21" t="n">
        <v>178</v>
      </c>
    </row>
    <row r="220" customFormat="false" ht="15" hidden="false" customHeight="false" outlineLevel="0" collapsed="false">
      <c r="A220" s="18" t="n">
        <v>46153</v>
      </c>
      <c r="B220" s="14" t="s">
        <v>119</v>
      </c>
      <c r="C220" s="14" t="s">
        <v>18</v>
      </c>
      <c r="D220" s="14" t="s">
        <v>84</v>
      </c>
      <c r="E220" s="14" t="s">
        <v>85</v>
      </c>
      <c r="F220" s="21" t="n">
        <v>71</v>
      </c>
    </row>
    <row r="221" customFormat="false" ht="15" hidden="false" customHeight="false" outlineLevel="0" collapsed="false">
      <c r="A221" s="18" t="n">
        <v>46154</v>
      </c>
      <c r="B221" s="14" t="s">
        <v>120</v>
      </c>
      <c r="C221" s="14" t="s">
        <v>9</v>
      </c>
      <c r="D221" s="14" t="s">
        <v>75</v>
      </c>
      <c r="E221" s="14" t="s">
        <v>70</v>
      </c>
      <c r="F221" s="21" t="n">
        <v>309</v>
      </c>
    </row>
    <row r="222" customFormat="false" ht="15" hidden="false" customHeight="false" outlineLevel="0" collapsed="false">
      <c r="A222" s="18" t="n">
        <v>46154</v>
      </c>
      <c r="B222" s="14" t="s">
        <v>120</v>
      </c>
      <c r="C222" s="14" t="s">
        <v>10</v>
      </c>
      <c r="D222" s="14" t="s">
        <v>73</v>
      </c>
      <c r="E222" s="14" t="s">
        <v>70</v>
      </c>
      <c r="F222" s="21" t="n">
        <v>68</v>
      </c>
    </row>
    <row r="223" customFormat="false" ht="15" hidden="false" customHeight="false" outlineLevel="0" collapsed="false">
      <c r="A223" s="18" t="n">
        <v>46154</v>
      </c>
      <c r="B223" s="14" t="s">
        <v>120</v>
      </c>
      <c r="C223" s="14" t="s">
        <v>10</v>
      </c>
      <c r="D223" s="14" t="s">
        <v>69</v>
      </c>
      <c r="E223" s="14" t="s">
        <v>70</v>
      </c>
      <c r="F223" s="21" t="n">
        <v>297</v>
      </c>
    </row>
    <row r="224" customFormat="false" ht="15" hidden="false" customHeight="false" outlineLevel="0" collapsed="false">
      <c r="A224" s="18" t="n">
        <v>46155</v>
      </c>
      <c r="B224" s="14" t="s">
        <v>121</v>
      </c>
      <c r="C224" s="14" t="s">
        <v>9</v>
      </c>
      <c r="D224" s="14" t="s">
        <v>75</v>
      </c>
      <c r="E224" s="14" t="s">
        <v>70</v>
      </c>
      <c r="F224" s="21" t="n">
        <v>121</v>
      </c>
    </row>
    <row r="225" customFormat="false" ht="15" hidden="false" customHeight="false" outlineLevel="0" collapsed="false">
      <c r="A225" s="18" t="n">
        <v>46155</v>
      </c>
      <c r="B225" s="14" t="s">
        <v>121</v>
      </c>
      <c r="C225" s="14" t="s">
        <v>10</v>
      </c>
      <c r="D225" s="14" t="s">
        <v>73</v>
      </c>
      <c r="E225" s="14" t="s">
        <v>70</v>
      </c>
      <c r="F225" s="21" t="n">
        <v>25</v>
      </c>
    </row>
    <row r="226" customFormat="false" ht="15" hidden="false" customHeight="false" outlineLevel="0" collapsed="false">
      <c r="A226" s="18" t="n">
        <v>46155</v>
      </c>
      <c r="B226" s="14" t="s">
        <v>121</v>
      </c>
      <c r="C226" s="14" t="s">
        <v>10</v>
      </c>
      <c r="D226" s="14" t="s">
        <v>69</v>
      </c>
      <c r="E226" s="14" t="s">
        <v>70</v>
      </c>
      <c r="F226" s="21" t="n">
        <v>181</v>
      </c>
    </row>
    <row r="227" customFormat="false" ht="15" hidden="false" customHeight="false" outlineLevel="0" collapsed="false">
      <c r="A227" s="18" t="n">
        <v>46160</v>
      </c>
      <c r="B227" s="14" t="s">
        <v>119</v>
      </c>
      <c r="C227" s="14" t="s">
        <v>18</v>
      </c>
      <c r="D227" s="14" t="s">
        <v>84</v>
      </c>
      <c r="E227" s="14" t="s">
        <v>85</v>
      </c>
      <c r="F227" s="21" t="n">
        <v>77</v>
      </c>
    </row>
    <row r="228" customFormat="false" ht="15" hidden="false" customHeight="false" outlineLevel="0" collapsed="false">
      <c r="A228" s="18" t="n">
        <v>46161</v>
      </c>
      <c r="B228" s="14" t="s">
        <v>120</v>
      </c>
      <c r="C228" s="14" t="s">
        <v>9</v>
      </c>
      <c r="D228" s="14" t="s">
        <v>74</v>
      </c>
      <c r="E228" s="14" t="s">
        <v>70</v>
      </c>
      <c r="F228" s="21" t="n">
        <v>72</v>
      </c>
    </row>
    <row r="229" customFormat="false" ht="15" hidden="false" customHeight="false" outlineLevel="0" collapsed="false">
      <c r="A229" s="18" t="n">
        <v>46161</v>
      </c>
      <c r="B229" s="14" t="s">
        <v>120</v>
      </c>
      <c r="C229" s="14" t="s">
        <v>10</v>
      </c>
      <c r="D229" s="14" t="s">
        <v>69</v>
      </c>
      <c r="E229" s="14" t="s">
        <v>70</v>
      </c>
      <c r="F229" s="21" t="n">
        <v>140</v>
      </c>
    </row>
    <row r="230" customFormat="false" ht="15" hidden="false" customHeight="false" outlineLevel="0" collapsed="false">
      <c r="A230" s="18" t="n">
        <v>46162</v>
      </c>
      <c r="B230" s="14" t="s">
        <v>121</v>
      </c>
      <c r="C230" s="14" t="s">
        <v>10</v>
      </c>
      <c r="D230" s="14" t="s">
        <v>69</v>
      </c>
      <c r="E230" s="14" t="s">
        <v>70</v>
      </c>
      <c r="F230" s="21" t="n">
        <v>287</v>
      </c>
    </row>
    <row r="231" customFormat="false" ht="15" hidden="false" customHeight="false" outlineLevel="0" collapsed="false">
      <c r="A231" s="18" t="n">
        <v>46164</v>
      </c>
      <c r="B231" s="14" t="s">
        <v>116</v>
      </c>
      <c r="C231" s="14" t="s">
        <v>21</v>
      </c>
      <c r="D231" s="14" t="s">
        <v>78</v>
      </c>
      <c r="E231" s="14" t="s">
        <v>70</v>
      </c>
      <c r="F231" s="21" t="n">
        <v>91</v>
      </c>
    </row>
    <row r="232" customFormat="false" ht="15" hidden="false" customHeight="false" outlineLevel="0" collapsed="false">
      <c r="A232" s="18" t="n">
        <v>46164</v>
      </c>
      <c r="B232" s="14" t="s">
        <v>116</v>
      </c>
      <c r="C232" s="14" t="s">
        <v>18</v>
      </c>
      <c r="D232" s="14" t="s">
        <v>84</v>
      </c>
      <c r="E232" s="14" t="s">
        <v>85</v>
      </c>
      <c r="F232" s="21" t="n">
        <v>38</v>
      </c>
    </row>
    <row r="233" customFormat="false" ht="15" hidden="false" customHeight="false" outlineLevel="0" collapsed="false">
      <c r="A233" s="18" t="n">
        <v>46164</v>
      </c>
      <c r="B233" s="14" t="s">
        <v>116</v>
      </c>
      <c r="C233" s="14" t="s">
        <v>9</v>
      </c>
      <c r="D233" s="14" t="s">
        <v>74</v>
      </c>
      <c r="E233" s="14" t="s">
        <v>70</v>
      </c>
      <c r="F233" s="21" t="n">
        <v>22</v>
      </c>
    </row>
    <row r="234" customFormat="false" ht="15" hidden="false" customHeight="false" outlineLevel="0" collapsed="false">
      <c r="A234" s="18" t="n">
        <v>46164</v>
      </c>
      <c r="B234" s="14" t="s">
        <v>116</v>
      </c>
      <c r="C234" s="14" t="s">
        <v>9</v>
      </c>
      <c r="D234" s="14" t="s">
        <v>76</v>
      </c>
      <c r="E234" s="14" t="s">
        <v>70</v>
      </c>
      <c r="F234" s="21" t="n">
        <v>67</v>
      </c>
    </row>
    <row r="235" customFormat="false" ht="15" hidden="false" customHeight="false" outlineLevel="0" collapsed="false">
      <c r="A235" s="18" t="n">
        <v>46164</v>
      </c>
      <c r="B235" s="14" t="s">
        <v>116</v>
      </c>
      <c r="C235" s="14" t="s">
        <v>9</v>
      </c>
      <c r="D235" s="14" t="s">
        <v>75</v>
      </c>
      <c r="E235" s="14" t="s">
        <v>70</v>
      </c>
      <c r="F235" s="21" t="n">
        <v>223</v>
      </c>
    </row>
    <row r="236" customFormat="false" ht="15" hidden="false" customHeight="false" outlineLevel="0" collapsed="false">
      <c r="A236" s="18" t="n">
        <v>46164</v>
      </c>
      <c r="B236" s="14" t="s">
        <v>116</v>
      </c>
      <c r="C236" s="14" t="s">
        <v>10</v>
      </c>
      <c r="D236" s="14" t="s">
        <v>73</v>
      </c>
      <c r="E236" s="14" t="s">
        <v>70</v>
      </c>
      <c r="F236" s="21" t="n">
        <v>63</v>
      </c>
    </row>
    <row r="237" customFormat="false" ht="15" hidden="false" customHeight="false" outlineLevel="0" collapsed="false">
      <c r="A237" s="18" t="n">
        <v>46164</v>
      </c>
      <c r="B237" s="14" t="s">
        <v>116</v>
      </c>
      <c r="C237" s="14" t="s">
        <v>10</v>
      </c>
      <c r="D237" s="14" t="s">
        <v>73</v>
      </c>
      <c r="E237" s="14" t="s">
        <v>70</v>
      </c>
      <c r="F237" s="21" t="n">
        <v>165</v>
      </c>
    </row>
    <row r="238" customFormat="false" ht="15" hidden="false" customHeight="false" outlineLevel="0" collapsed="false">
      <c r="A238" s="18" t="n">
        <v>46164</v>
      </c>
      <c r="B238" s="14" t="s">
        <v>116</v>
      </c>
      <c r="C238" s="14" t="s">
        <v>10</v>
      </c>
      <c r="D238" s="14" t="s">
        <v>74</v>
      </c>
      <c r="E238" s="14" t="s">
        <v>70</v>
      </c>
      <c r="F238" s="21" t="n">
        <v>20</v>
      </c>
    </row>
    <row r="239" customFormat="false" ht="15" hidden="false" customHeight="false" outlineLevel="0" collapsed="false">
      <c r="A239" s="18" t="n">
        <v>46164</v>
      </c>
      <c r="B239" s="14" t="s">
        <v>116</v>
      </c>
      <c r="C239" s="14" t="s">
        <v>10</v>
      </c>
      <c r="D239" s="14" t="s">
        <v>69</v>
      </c>
      <c r="E239" s="14" t="s">
        <v>70</v>
      </c>
      <c r="F239" s="21" t="n">
        <v>50</v>
      </c>
    </row>
    <row r="240" customFormat="false" ht="15" hidden="false" customHeight="false" outlineLevel="0" collapsed="false">
      <c r="A240" s="18" t="n">
        <v>46165</v>
      </c>
      <c r="B240" s="14" t="s">
        <v>117</v>
      </c>
      <c r="C240" s="14" t="s">
        <v>21</v>
      </c>
      <c r="D240" s="14" t="s">
        <v>78</v>
      </c>
      <c r="E240" s="14" t="s">
        <v>70</v>
      </c>
      <c r="F240" s="21" t="n">
        <v>58</v>
      </c>
    </row>
    <row r="241" customFormat="false" ht="15" hidden="false" customHeight="false" outlineLevel="0" collapsed="false">
      <c r="A241" s="18" t="n">
        <v>46165</v>
      </c>
      <c r="B241" s="14" t="s">
        <v>117</v>
      </c>
      <c r="C241" s="14" t="s">
        <v>18</v>
      </c>
      <c r="D241" s="14" t="s">
        <v>84</v>
      </c>
      <c r="E241" s="14" t="s">
        <v>85</v>
      </c>
      <c r="F241" s="21" t="n">
        <v>39</v>
      </c>
    </row>
    <row r="242" customFormat="false" ht="15" hidden="false" customHeight="false" outlineLevel="0" collapsed="false">
      <c r="A242" s="18" t="n">
        <v>46165</v>
      </c>
      <c r="B242" s="14" t="s">
        <v>117</v>
      </c>
      <c r="C242" s="14" t="s">
        <v>15</v>
      </c>
      <c r="D242" s="14" t="s">
        <v>78</v>
      </c>
      <c r="E242" s="14" t="s">
        <v>70</v>
      </c>
      <c r="F242" s="21" t="n">
        <v>84</v>
      </c>
    </row>
    <row r="243" customFormat="false" ht="15" hidden="false" customHeight="false" outlineLevel="0" collapsed="false">
      <c r="A243" s="18" t="n">
        <v>46165</v>
      </c>
      <c r="B243" s="14" t="s">
        <v>117</v>
      </c>
      <c r="C243" s="14" t="s">
        <v>9</v>
      </c>
      <c r="D243" s="14" t="s">
        <v>74</v>
      </c>
      <c r="E243" s="14" t="s">
        <v>70</v>
      </c>
      <c r="F243" s="21" t="n">
        <v>39</v>
      </c>
    </row>
    <row r="244" customFormat="false" ht="15" hidden="false" customHeight="false" outlineLevel="0" collapsed="false">
      <c r="A244" s="18" t="n">
        <v>46165</v>
      </c>
      <c r="B244" s="14" t="s">
        <v>117</v>
      </c>
      <c r="C244" s="14" t="s">
        <v>9</v>
      </c>
      <c r="D244" s="14" t="s">
        <v>74</v>
      </c>
      <c r="E244" s="14" t="s">
        <v>70</v>
      </c>
      <c r="F244" s="21" t="n">
        <v>93</v>
      </c>
    </row>
    <row r="245" customFormat="false" ht="15" hidden="false" customHeight="false" outlineLevel="0" collapsed="false">
      <c r="A245" s="18" t="n">
        <v>46165</v>
      </c>
      <c r="B245" s="14" t="s">
        <v>117</v>
      </c>
      <c r="C245" s="14" t="s">
        <v>9</v>
      </c>
      <c r="D245" s="14" t="s">
        <v>74</v>
      </c>
      <c r="E245" s="14" t="s">
        <v>70</v>
      </c>
      <c r="F245" s="21" t="n">
        <v>151</v>
      </c>
    </row>
    <row r="246" customFormat="false" ht="15" hidden="false" customHeight="false" outlineLevel="0" collapsed="false">
      <c r="A246" s="18" t="n">
        <v>46165</v>
      </c>
      <c r="B246" s="14" t="s">
        <v>117</v>
      </c>
      <c r="C246" s="14" t="s">
        <v>9</v>
      </c>
      <c r="D246" s="14" t="s">
        <v>76</v>
      </c>
      <c r="E246" s="14" t="s">
        <v>70</v>
      </c>
      <c r="F246" s="21" t="n">
        <v>170</v>
      </c>
    </row>
    <row r="247" customFormat="false" ht="15" hidden="false" customHeight="false" outlineLevel="0" collapsed="false">
      <c r="A247" s="18" t="n">
        <v>46165</v>
      </c>
      <c r="B247" s="14" t="s">
        <v>117</v>
      </c>
      <c r="C247" s="14" t="s">
        <v>9</v>
      </c>
      <c r="D247" s="14" t="s">
        <v>75</v>
      </c>
      <c r="E247" s="14" t="s">
        <v>70</v>
      </c>
      <c r="F247" s="21" t="n">
        <v>190</v>
      </c>
    </row>
    <row r="248" customFormat="false" ht="15" hidden="false" customHeight="false" outlineLevel="0" collapsed="false">
      <c r="A248" s="18" t="n">
        <v>46165</v>
      </c>
      <c r="B248" s="14" t="s">
        <v>117</v>
      </c>
      <c r="C248" s="14" t="s">
        <v>10</v>
      </c>
      <c r="D248" s="14" t="s">
        <v>73</v>
      </c>
      <c r="E248" s="14" t="s">
        <v>70</v>
      </c>
      <c r="F248" s="21" t="n">
        <v>30</v>
      </c>
    </row>
    <row r="249" customFormat="false" ht="15" hidden="false" customHeight="false" outlineLevel="0" collapsed="false">
      <c r="A249" s="18" t="n">
        <v>46166</v>
      </c>
      <c r="B249" s="14" t="s">
        <v>118</v>
      </c>
      <c r="C249" s="14" t="s">
        <v>18</v>
      </c>
      <c r="D249" s="14" t="s">
        <v>88</v>
      </c>
      <c r="E249" s="14" t="s">
        <v>87</v>
      </c>
      <c r="F249" s="21" t="n">
        <v>50</v>
      </c>
    </row>
    <row r="250" customFormat="false" ht="15" hidden="false" customHeight="false" outlineLevel="0" collapsed="false">
      <c r="A250" s="18" t="n">
        <v>46166</v>
      </c>
      <c r="B250" s="14" t="s">
        <v>118</v>
      </c>
      <c r="C250" s="14" t="s">
        <v>9</v>
      </c>
      <c r="D250" s="14" t="s">
        <v>73</v>
      </c>
      <c r="E250" s="14" t="s">
        <v>70</v>
      </c>
      <c r="F250" s="21" t="n">
        <v>57</v>
      </c>
    </row>
    <row r="251" customFormat="false" ht="15" hidden="false" customHeight="false" outlineLevel="0" collapsed="false">
      <c r="A251" s="18" t="n">
        <v>46166</v>
      </c>
      <c r="B251" s="14" t="s">
        <v>118</v>
      </c>
      <c r="C251" s="14" t="s">
        <v>9</v>
      </c>
      <c r="D251" s="14" t="s">
        <v>74</v>
      </c>
      <c r="E251" s="14" t="s">
        <v>70</v>
      </c>
      <c r="F251" s="21" t="n">
        <v>62</v>
      </c>
    </row>
    <row r="252" customFormat="false" ht="15" hidden="false" customHeight="false" outlineLevel="0" collapsed="false">
      <c r="A252" s="18" t="n">
        <v>46166</v>
      </c>
      <c r="B252" s="14" t="s">
        <v>118</v>
      </c>
      <c r="C252" s="14" t="s">
        <v>9</v>
      </c>
      <c r="D252" s="14" t="s">
        <v>77</v>
      </c>
      <c r="E252" s="14" t="s">
        <v>70</v>
      </c>
      <c r="F252" s="21" t="n">
        <v>117</v>
      </c>
    </row>
    <row r="253" customFormat="false" ht="15" hidden="false" customHeight="false" outlineLevel="0" collapsed="false">
      <c r="A253" s="18" t="n">
        <v>46166</v>
      </c>
      <c r="B253" s="14" t="s">
        <v>118</v>
      </c>
      <c r="C253" s="14" t="s">
        <v>9</v>
      </c>
      <c r="D253" s="14" t="s">
        <v>75</v>
      </c>
      <c r="E253" s="14" t="s">
        <v>70</v>
      </c>
      <c r="F253" s="21" t="n">
        <v>67</v>
      </c>
    </row>
    <row r="254" customFormat="false" ht="15" hidden="false" customHeight="false" outlineLevel="0" collapsed="false">
      <c r="A254" s="18" t="n">
        <v>46166</v>
      </c>
      <c r="B254" s="14" t="s">
        <v>118</v>
      </c>
      <c r="C254" s="14" t="s">
        <v>10</v>
      </c>
      <c r="D254" s="14" t="s">
        <v>69</v>
      </c>
      <c r="E254" s="14" t="s">
        <v>70</v>
      </c>
      <c r="F254" s="21" t="n">
        <v>216</v>
      </c>
    </row>
  </sheetData>
  <autoFilter ref="A4:F254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2026-08-06T04:58:45Z</dcterms:created>
  <dc:creator>openpyxl</dc:creator>
  <dc:description/>
  <dc:language>en-US</dc:language>
  <cp:lastModifiedBy/>
  <dcterms:modified xsi:type="dcterms:W3CDTF">2026-08-06T04:58:45Z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